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Sheet 1" sheetId="2" r:id="rId6"/>
    <sheet name="Sheet 2 - Базовые переменные" sheetId="3" r:id="rId7"/>
    <sheet name="Sheet 2 - Синие карты" sheetId="4" r:id="rId8"/>
    <sheet name="Sheet 2 - Красные карты" sheetId="5" r:id="rId9"/>
    <sheet name="Sheet 2 - Вероятность выпадения" sheetId="6" r:id="rId10"/>
    <sheet name="Sheet 2 - Баланс игроков в ход " sheetId="7" r:id="rId11"/>
    <sheet name="Sheet 2 - Фиолетовые карты" sheetId="8" r:id="rId12"/>
    <sheet name="Sheet 2 - Золотые карты" sheetId="9" r:id="rId13"/>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<sst xmlns="http://schemas.openxmlformats.org/spreadsheetml/2006/main" uniqueCount="180">
  <si>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</si>
  <si>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</si>
  <si>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</si>
  <si>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</si>
  <si>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 1</t>
  </si>
  <si>
    <t>Table 1</t>
  </si>
  <si>
    <t>Name</t>
  </si>
  <si>
    <t>Color</t>
  </si>
  <si>
    <t>Effect</t>
  </si>
  <si>
    <t>Cost</t>
  </si>
  <si>
    <t>Reward</t>
  </si>
  <si>
    <t>Icon</t>
  </si>
  <si>
    <t>Description</t>
  </si>
  <si>
    <t>Weight</t>
  </si>
  <si>
    <t>Narrative</t>
  </si>
  <si>
    <t>Кофе-брейк от Искандера</t>
  </si>
  <si>
    <t>Blue</t>
  </si>
  <si>
    <t>GETALL 1</t>
  </si>
  <si>
    <t>Midjourney-1.png</t>
  </si>
  <si>
    <t>Когда лекция по экономике затянулась, Искандер угощает всех.</t>
  </si>
  <si>
    <t>+1 корм всем</t>
  </si>
  <si>
    <t>Методичка в общий чат</t>
  </si>
  <si>
    <t>GETALL 2</t>
  </si>
  <si>
    <t>Midjourney-2.png</t>
  </si>
  <si>
    <t>Константин выложил гайд в чат — команда сыта и мотивирована.</t>
  </si>
  <si>
    <t>Баланс-пати от Константина</t>
  </si>
  <si>
    <t>GETALL 3</t>
  </si>
  <si>
    <t>Midjourney-3.png</t>
  </si>
  <si>
    <t>После успешной балансировки — мини-праздник.</t>
  </si>
  <si>
    <t>+2 корма всем</t>
  </si>
  <si>
    <t>Синхронизация спринта</t>
  </si>
  <si>
    <t>GETALL 4</t>
  </si>
  <si>
    <t>Midjourney-4.png</t>
  </si>
  <si>
    <t>Спринт синхронизирован, команда в ресурсе.</t>
  </si>
  <si>
    <t>Грант на корм для команды</t>
  </si>
  <si>
    <t>GETALL 5</t>
  </si>
  <si>
    <t>Midjourney-5.png</t>
  </si>
  <si>
    <t>Внешнее финансирование найдено!</t>
  </si>
  <si>
    <t>+3 корма всем</t>
  </si>
  <si>
    <t>Лекция про экономику корма</t>
  </si>
  <si>
    <t>GETALL 6</t>
  </si>
  <si>
    <t>Midjourney-6.png</t>
  </si>
  <si>
    <t>Искандер объясняет, как корм влияет на метрики.</t>
  </si>
  <si>
    <t>Дедлайн продлён!</t>
  </si>
  <si>
    <t>GETALL 7</t>
  </si>
  <si>
    <t>Midjourney-7.png</t>
  </si>
  <si>
    <t>Невероятно! Дедлайн сдвинули. Время на подкрепление.</t>
  </si>
  <si>
    <t>+4 корма всем</t>
  </si>
  <si>
    <t>Командный бонус от Искандера</t>
  </si>
  <si>
    <t>GETALL 8</t>
  </si>
  <si>
    <t>Midjourney-8.png</t>
  </si>
  <si>
    <t>За успешный этап — бонус от преподавателя.</t>
  </si>
  <si>
    <t>Защита проекта — всем плюс</t>
  </si>
  <si>
    <t>GETALL 9</t>
  </si>
  <si>
    <t>Midjourney-9.png</t>
  </si>
  <si>
    <t>Проект защищён на отлично! Преподаватели щедры.</t>
  </si>
  <si>
    <t>+5 кормов всем</t>
  </si>
  <si>
    <t>Финальный релиз: корм для всех</t>
  </si>
  <si>
    <t>GETALL 10</t>
  </si>
  <si>
    <t>Midjourney-10.png</t>
  </si>
  <si>
    <t>Релиз состоялся! Все получают награду.</t>
  </si>
  <si>
    <t>Аудит кормов от Искандера</t>
  </si>
  <si>
    <t>Red</t>
  </si>
  <si>
    <t>STEAL_MONEY ALL 1</t>
  </si>
  <si>
    <t>Flux_cartoon-iskander-with-magnifying-glass-inspecting-ledger_-dr.png</t>
  </si>
  <si>
    <t>Искандер проверяет бюджет. Найдены излишки — изымаются.</t>
  </si>
  <si>
    <t>Заберите 1 корм у всех оппонентов</t>
  </si>
  <si>
    <t>Проверка ТЗ: штраф за ошибки</t>
  </si>
  <si>
    <t>STEAL_MONEY ALL 2</t>
  </si>
  <si>
    <t>Flux_konstantin-with-red-pen-marking-documents_-shadows_-humorous.png</t>
  </si>
  <si>
    <t>Константин нашёл несоответствия в ТЗ. Штрафуем.</t>
  </si>
  <si>
    <t>Заберите 2 корма у всех оппонентов</t>
  </si>
  <si>
    <t>Ревизия спринта</t>
  </si>
  <si>
    <t>STEAL_MONEY ALL 3</t>
  </si>
  <si>
    <t>Flux_agile-board-under-red-spotlight_-cartoon-auditor-figure_-sti.png</t>
  </si>
  <si>
    <t>Внезапная ревизия! Ресурсы перераспределяются.</t>
  </si>
  <si>
    <t>Заберите 3 корма у всех оппонентов</t>
  </si>
  <si>
    <t>Константин требует отчёт</t>
  </si>
  <si>
    <t>STEAL_MONEY ALL 4</t>
  </si>
  <si>
    <t>Flux_konstantin-holding-clipboard-with-checklist_-red-glow_-semi-.png</t>
  </si>
  <si>
    <t>«Где отчёт?» — спрашивает Константин. Придётся поделиться.</t>
  </si>
  <si>
    <t>Заберите 4 корма у всех оппонентов</t>
  </si>
  <si>
    <t>Нерф баланса: забираем корм</t>
  </si>
  <si>
    <t>STEAL_MONEY ALL 5</t>
  </si>
  <si>
    <t>Flux_game-balance-scale-tipping_-red-particle-effects_-cartoon-is.png</t>
  </si>
  <si>
    <t>Баланс нарушен? Исправляем!</t>
  </si>
  <si>
    <t>Заберите 5 кормов у всех оппонентов</t>
  </si>
  <si>
    <t>Дедлайн вчера: конфискация</t>
  </si>
  <si>
    <t>STEAL_MONEY ALL 6</t>
  </si>
  <si>
    <t>Flux_calendar-with-yesterday_s-date-highlighted-red_-cartoon-prof.png</t>
  </si>
  <si>
    <t>Дедлайн был вчера. Конфискация ресурсов.</t>
  </si>
  <si>
    <t>Заберите 6 кормов у всех оппонентов</t>
  </si>
  <si>
    <t>Патч 1.0: изъятие ресурсов</t>
  </si>
  <si>
    <t>STEAL_MONEY ALL 7</t>
  </si>
  <si>
    <t>Flux_software-patch-notes-with-red-highlights_-cartoon-developer-.png</t>
  </si>
  <si>
    <t>Вышел патч с баланс-изменениями.</t>
  </si>
  <si>
    <t>Заберите 7 кормов у всех оппонентов</t>
  </si>
  <si>
    <t>Искандер пересчитал баланс</t>
  </si>
  <si>
    <t>STEAL_MONEY ALL 8</t>
  </si>
  <si>
    <t>Flux_iskander-with-calculator-and-economic-graphs_-red-spotlight.png</t>
  </si>
  <si>
    <t>После перерасчёта экономика требует жертв.</t>
  </si>
  <si>
    <t>Заберите 8 кормов у всех оппонентов</t>
  </si>
  <si>
    <t>Константин нашёл баги в вашей документации</t>
  </si>
  <si>
    <t>STEAL_MONEY ALL 9</t>
  </si>
  <si>
    <t>Flux_konstantin-with-bug-report_-red-stamps_-cartoon-frustrated-s.png</t>
  </si>
  <si>
    <t>«Это не баг, это фича?» — не прокатит.</t>
  </si>
  <si>
    <t>Заберите 9 кормов у всех оппонентов</t>
  </si>
  <si>
    <t>Финальная аттестация: корм на кону</t>
  </si>
  <si>
    <t>STEAL_MONEY ALL 10</t>
  </si>
  <si>
    <t>Flux_exam-hall-with-red-lighting_-cartoon-professors-at-table_-fo.png</t>
  </si>
  <si>
    <t>Аттестация решает всё. Победитель забирает ресурсы.</t>
  </si>
  <si>
    <t>Заберите 10 кормов у всех оппонентов</t>
  </si>
  <si>
    <t>Плагиат на митапе</t>
  </si>
  <si>
    <t>Purple</t>
  </si>
  <si>
    <t>STEAL_CARD RANDOM</t>
  </si>
  <si>
    <t>Карта</t>
  </si>
  <si>
    <t>Flux_mysterious-silhouette-sneaking-a-card-from-table_-purple-neo.png</t>
  </si>
  <si>
    <t>Пока все обсуждали архитектуру, вы тихонько взяли чужую идею...</t>
  </si>
  <si>
    <t>Украдите случайную карту у случайного соперника</t>
  </si>
  <si>
    <t>Стипендия за проект</t>
  </si>
  <si>
    <t>Gold</t>
  </si>
  <si>
    <t>GET 1</t>
  </si>
  <si>
    <t>Flux_golden-coin-with-game-controller-icon_-radiant-light_-cartoo.png</t>
  </si>
  <si>
    <t>Ваш проект заметили! Первая выплата.</t>
  </si>
  <si>
    <t>Получите 1 корм из банка</t>
  </si>
  <si>
    <t>Грант на балансировку</t>
  </si>
  <si>
    <t>GET 2</t>
  </si>
  <si>
    <t>Flux_grant-document-with-golden-seal_-iskander-signing_-cartoon-s.png</t>
  </si>
  <si>
    <t>Специальный грант на улучшение баланса.</t>
  </si>
  <si>
    <t>Получите 2 корма из банка</t>
  </si>
  <si>
    <t>Инвестиции от Искандера</t>
  </si>
  <si>
    <t>GET 3</t>
  </si>
  <si>
    <t>Flux_iskander-as-angel-investor-with-golden-briefcase_-sparkles_-.png</t>
  </si>
  <si>
    <t>Искандер верит в ваш проект! Крупные инвестиции.</t>
  </si>
  <si>
    <t>Получите 3 корма из банка</t>
  </si>
  <si>
    <t>Sheet 2</t>
  </si>
  <si>
    <t>Базовые переменные</t>
  </si>
  <si>
    <t>Sheet 2 - Базовые переменные</t>
  </si>
  <si>
    <t>Переменная</t>
  </si>
  <si>
    <t>Значение</t>
  </si>
  <si>
    <t>Стартовый баланс, мин.</t>
  </si>
  <si>
    <t>Стартовый баланс, макс.</t>
  </si>
  <si>
    <t>Цель победы</t>
  </si>
  <si>
    <t>Золото за ход</t>
  </si>
  <si>
    <t>Кол-во игроков</t>
  </si>
  <si>
    <t>Минимальное кол-во раундов</t>
  </si>
  <si>
    <t>Максимальное кол-во раундов</t>
  </si>
  <si>
    <t>Синие карты</t>
  </si>
  <si>
    <t>Sheet 2 - Синие карты</t>
  </si>
  <si>
    <t>№</t>
  </si>
  <si>
    <t>Цвет</t>
  </si>
  <si>
    <t>Стоимость</t>
  </si>
  <si>
    <t>Доход за ход</t>
  </si>
  <si>
    <t>Средняя прибыль за игру</t>
  </si>
  <si>
    <t>Синий</t>
  </si>
  <si>
    <t>СРЕДНЯЯ ценность за ход</t>
  </si>
  <si>
    <t>Красные карты</t>
  </si>
  <si>
    <t>Sheet 2 - Красные карты</t>
  </si>
  <si>
    <t>Красный</t>
  </si>
  <si>
    <t>Вероятность выпадения цвета</t>
  </si>
  <si>
    <t>Sheet 2 - Вероятность выпадения</t>
  </si>
  <si>
    <t>Вероятность</t>
  </si>
  <si>
    <t>Фиолетовый</t>
  </si>
  <si>
    <t>Золотой</t>
  </si>
  <si>
    <t>Баланс игроков в ход (суммарно)</t>
  </si>
  <si>
    <t xml:space="preserve">Sheet 2 - Баланс игроков в ход </t>
  </si>
  <si>
    <t>Средний доход с карт</t>
  </si>
  <si>
    <t>Ход</t>
  </si>
  <si>
    <t>Заработано всегда</t>
  </si>
  <si>
    <r>
      <rPr>
        <b val="1"/>
        <sz val="10"/>
        <color indexed="8"/>
        <rFont val="Helvetica Neue"/>
      </rPr>
      <t>Синий</t>
    </r>
  </si>
  <si>
    <r>
      <rPr>
        <b val="1"/>
        <sz val="10"/>
        <color indexed="8"/>
        <rFont val="Helvetica Neue"/>
      </rPr>
      <t>Красный</t>
    </r>
  </si>
  <si>
    <r>
      <rPr>
        <b val="1"/>
        <sz val="10"/>
        <color indexed="8"/>
        <rFont val="Helvetica Neue"/>
      </rPr>
      <t>Фиолетовый</t>
    </r>
  </si>
  <si>
    <r>
      <rPr>
        <b val="1"/>
        <sz val="10"/>
        <color indexed="8"/>
        <rFont val="Helvetica Neue"/>
      </rPr>
      <t>Золотой</t>
    </r>
  </si>
  <si>
    <t>Средне заработано</t>
  </si>
  <si>
    <t>Средне потрачено на игрока</t>
  </si>
  <si>
    <t>Средне на игрока</t>
  </si>
  <si>
    <t>Фиолетовые карты</t>
  </si>
  <si>
    <t>Sheet 2 - Фиолетовые карты</t>
  </si>
  <si>
    <t>Золотые карты</t>
  </si>
  <si>
    <t>Sheet 2 - Золотые карты</t>
  </si>
</sst>
</file>

<file path=xl/styles.xml><?xml version="1.0" encoding="utf-8"?>
<styleSheet xmlns="http://schemas.openxmlformats.org/spreadsheetml/2006/main">
  <numFmts count="2">
    <numFmt numFmtId="0" formatCode="General"/>
    <numFmt numFmtId="59" formatCode="0.0%"/>
  </numFmts>
  <fonts count="6">
    <font>
      <sz val="10"/>
      <color indexed="8"/>
      <name val="Helvetica Neue"/>
    </font>
    <font>
      <sz val="12"/>
      <color indexed="8"/>
      <name val="Helvetica Neue"/>
    </font>
    <font>
      <sz val="14"/>
      <color indexed="8"/>
      <name val="Helvetica Neue"/>
    </font>
    <font>
      <u val="single"/>
      <sz val="12"/>
      <color indexed="11"/>
      <name val="Helvetica Neue"/>
    </font>
    <font>
      <sz val="11"/>
      <color indexed="8"/>
      <name val="Helvetica Neue"/>
    </font>
    <font>
      <b val="1"/>
      <sz val="10"/>
      <color indexed="8"/>
      <name val="Helvetica Neue"/>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8">
    <border>
      <left/>
      <right/>
      <top/>
      <bottom/>
      <diagonal/>
    </border>
    <border>
      <left style="thin">
        <color indexed="12"/>
      </left>
      <right style="thin">
        <color indexed="12"/>
      </right>
      <top style="thin">
        <color indexed="12"/>
      </top>
      <bottom style="thin">
        <color indexed="13"/>
      </bottom>
      <diagonal/>
    </border>
    <border>
      <left style="thin">
        <color indexed="12"/>
      </left>
      <right style="thin">
        <color indexed="13"/>
      </right>
      <top style="thin">
        <color indexed="13"/>
      </top>
      <bottom style="thin">
        <color indexed="12"/>
      </bottom>
      <diagonal/>
    </border>
    <border>
      <left style="thin">
        <color indexed="13"/>
      </left>
      <right style="thin">
        <color indexed="12"/>
      </right>
      <top style="thin">
        <color indexed="13"/>
      </top>
      <bottom style="thin">
        <color indexed="12"/>
      </bottom>
      <diagonal/>
    </border>
    <border>
      <left style="thin">
        <color indexed="12"/>
      </left>
      <right style="thin">
        <color indexed="12"/>
      </right>
      <top style="thin">
        <color indexed="13"/>
      </top>
      <bottom style="thin">
        <color indexed="12"/>
      </bottom>
      <diagonal/>
    </border>
    <border>
      <left style="thin">
        <color indexed="12"/>
      </left>
      <right style="thin">
        <color indexed="13"/>
      </right>
      <top style="thin">
        <color indexed="12"/>
      </top>
      <bottom style="thin">
        <color indexed="12"/>
      </bottom>
      <diagonal/>
    </border>
    <border>
      <left style="thin">
        <color indexed="13"/>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top" wrapText="1"/>
    </xf>
  </cellStyleXfs>
  <cellXfs count="72">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49" fontId="4" borderId="1" applyNumberFormat="1" applyFont="1" applyFill="0" applyBorder="1" applyAlignment="1" applyProtection="0">
      <alignment vertical="center" wrapText="1"/>
    </xf>
    <xf numFmtId="49" fontId="4" fillId="4" borderId="2" applyNumberFormat="1" applyFont="1" applyFill="1" applyBorder="1" applyAlignment="1" applyProtection="0">
      <alignment vertical="center" wrapText="1"/>
    </xf>
    <xf numFmtId="49" fontId="4" fillId="4" borderId="3" applyNumberFormat="1" applyFont="1" applyFill="1" applyBorder="1" applyAlignment="1" applyProtection="0">
      <alignment vertical="center" wrapText="1"/>
    </xf>
    <xf numFmtId="49" fontId="4" fillId="4" borderId="4" applyNumberFormat="1" applyFont="1" applyFill="1" applyBorder="1" applyAlignment="1" applyProtection="0">
      <alignment vertical="center" wrapText="1"/>
    </xf>
    <xf numFmtId="0" fontId="4" fillId="4" borderId="4" applyNumberFormat="1" applyFont="1" applyFill="1" applyBorder="1" applyAlignment="1" applyProtection="0">
      <alignment vertical="center" wrapText="1"/>
    </xf>
    <xf numFmtId="49" fontId="4" fillId="4" borderId="5" applyNumberFormat="1" applyFont="1" applyFill="1" applyBorder="1" applyAlignment="1" applyProtection="0">
      <alignment vertical="center" wrapText="1"/>
    </xf>
    <xf numFmtId="49" fontId="4" fillId="4" borderId="6" applyNumberFormat="1" applyFont="1" applyFill="1" applyBorder="1" applyAlignment="1" applyProtection="0">
      <alignment vertical="center" wrapText="1"/>
    </xf>
    <xf numFmtId="49" fontId="4" fillId="4" borderId="7" applyNumberFormat="1" applyFont="1" applyFill="1" applyBorder="1" applyAlignment="1" applyProtection="0">
      <alignment vertical="center" wrapText="1"/>
    </xf>
    <xf numFmtId="0" fontId="4" fillId="4" borderId="7" applyNumberFormat="1" applyFont="1" applyFill="1" applyBorder="1" applyAlignment="1" applyProtection="0">
      <alignment vertical="center" wrapText="1"/>
    </xf>
    <xf numFmtId="49" fontId="4" fillId="5" borderId="5" applyNumberFormat="1" applyFont="1" applyFill="1" applyBorder="1" applyAlignment="1" applyProtection="0">
      <alignment vertical="center" wrapText="1"/>
    </xf>
    <xf numFmtId="49" fontId="4" fillId="5" borderId="6" applyNumberFormat="1" applyFont="1" applyFill="1" applyBorder="1" applyAlignment="1" applyProtection="0">
      <alignment vertical="center" wrapText="1"/>
    </xf>
    <xf numFmtId="49" fontId="4" fillId="5" borderId="7" applyNumberFormat="1" applyFont="1" applyFill="1" applyBorder="1" applyAlignment="1" applyProtection="0">
      <alignment vertical="center" wrapText="1"/>
    </xf>
    <xf numFmtId="0" fontId="4" fillId="5" borderId="7" applyNumberFormat="1" applyFont="1" applyFill="1" applyBorder="1" applyAlignment="1" applyProtection="0">
      <alignment vertical="center" wrapText="1"/>
    </xf>
    <xf numFmtId="49" fontId="4" fillId="6" borderId="5" applyNumberFormat="1" applyFont="1" applyFill="1" applyBorder="1" applyAlignment="1" applyProtection="0">
      <alignment vertical="center" wrapText="1"/>
    </xf>
    <xf numFmtId="49" fontId="4" fillId="6" borderId="6" applyNumberFormat="1" applyFont="1" applyFill="1" applyBorder="1" applyAlignment="1" applyProtection="0">
      <alignment vertical="center" wrapText="1"/>
    </xf>
    <xf numFmtId="49" fontId="4" fillId="6" borderId="7" applyNumberFormat="1" applyFont="1" applyFill="1" applyBorder="1" applyAlignment="1" applyProtection="0">
      <alignment vertical="center" wrapText="1"/>
    </xf>
    <xf numFmtId="0" fontId="4" fillId="6" borderId="7" applyNumberFormat="1" applyFont="1" applyFill="1" applyBorder="1" applyAlignment="1" applyProtection="0">
      <alignment vertical="center" wrapText="1"/>
    </xf>
    <xf numFmtId="49" fontId="4" fillId="7" borderId="5" applyNumberFormat="1" applyFont="1" applyFill="1" applyBorder="1" applyAlignment="1" applyProtection="0">
      <alignment vertical="center" wrapText="1"/>
    </xf>
    <xf numFmtId="49" fontId="4" fillId="7" borderId="6" applyNumberFormat="1" applyFont="1" applyFill="1" applyBorder="1" applyAlignment="1" applyProtection="0">
      <alignment vertical="center" wrapText="1"/>
    </xf>
    <xf numFmtId="49" fontId="4" fillId="7" borderId="7" applyNumberFormat="1" applyFont="1" applyFill="1" applyBorder="1" applyAlignment="1" applyProtection="0">
      <alignment vertical="center" wrapText="1"/>
    </xf>
    <xf numFmtId="0" fontId="4" fillId="7" borderId="7" applyNumberFormat="1" applyFont="1" applyFill="1" applyBorder="1" applyAlignment="1" applyProtection="0">
      <alignment vertical="center"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5" fillId="8" borderId="1" applyNumberFormat="1" applyFont="1" applyFill="1" applyBorder="1" applyAlignment="1" applyProtection="0">
      <alignment horizontal="center" vertical="center" wrapText="1"/>
    </xf>
    <xf numFmtId="49" fontId="5" fillId="9" borderId="2" applyNumberFormat="1" applyFont="1" applyFill="1" applyBorder="1" applyAlignment="1" applyProtection="0">
      <alignment horizontal="center" vertical="center" wrapText="1"/>
    </xf>
    <xf numFmtId="1" fontId="0" borderId="3" applyNumberFormat="1" applyFont="1" applyFill="0" applyBorder="1" applyAlignment="1" applyProtection="0">
      <alignment horizontal="center" vertical="center" wrapText="1"/>
    </xf>
    <xf numFmtId="49" fontId="5" fillId="9" borderId="5" applyNumberFormat="1" applyFont="1" applyFill="1" applyBorder="1" applyAlignment="1" applyProtection="0">
      <alignment horizontal="center" vertical="center" wrapText="1"/>
    </xf>
    <xf numFmtId="1" fontId="0" borderId="6"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5" fillId="8" borderId="1" applyNumberFormat="1" applyFont="1" applyFill="1" applyBorder="1" applyAlignment="1" applyProtection="0">
      <alignment vertical="top" wrapText="1"/>
    </xf>
    <xf numFmtId="0" fontId="5" fillId="8" borderId="1" applyNumberFormat="0" applyFont="1" applyFill="1" applyBorder="1" applyAlignment="1" applyProtection="0">
      <alignment vertical="top" wrapText="1"/>
    </xf>
    <xf numFmtId="0" fontId="5" fillId="9" borderId="4" applyNumberFormat="1" applyFont="1" applyFill="1" applyBorder="1" applyAlignment="1" applyProtection="0">
      <alignment vertical="top" wrapText="1"/>
    </xf>
    <xf numFmtId="0" fontId="5" fillId="9" borderId="2" applyNumberFormat="0" applyFont="1" applyFill="1" applyBorder="1" applyAlignment="1" applyProtection="0">
      <alignment vertical="top" wrapText="1"/>
    </xf>
    <xf numFmtId="49" fontId="0" borderId="3" applyNumberFormat="1" applyFont="1" applyFill="0" applyBorder="1" applyAlignment="1" applyProtection="0">
      <alignment vertical="top" wrapText="1"/>
    </xf>
    <xf numFmtId="1" fontId="0" borderId="4"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0" fontId="5" fillId="9" borderId="7" applyNumberFormat="1" applyFont="1" applyFill="1" applyBorder="1" applyAlignment="1" applyProtection="0">
      <alignment vertical="top" wrapText="1"/>
    </xf>
    <xf numFmtId="0" fontId="5" fillId="9" borderId="5" applyNumberFormat="0" applyFont="1" applyFill="1" applyBorder="1" applyAlignment="1" applyProtection="0">
      <alignment vertical="top" wrapText="1"/>
    </xf>
    <xf numFmtId="49" fontId="0" borderId="6" applyNumberFormat="1" applyFont="1" applyFill="0" applyBorder="1" applyAlignment="1" applyProtection="0">
      <alignment vertical="top" wrapText="1"/>
    </xf>
    <xf numFmtId="1" fontId="0" borderId="7"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5" fillId="9" borderId="7" applyNumberFormat="0" applyFont="1" applyFill="1" applyBorder="1" applyAlignment="1" applyProtection="0">
      <alignment vertical="top" wrapText="1"/>
    </xf>
    <xf numFmtId="49" fontId="5" fillId="9" borderId="5"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59" fontId="0" borderId="3" applyNumberFormat="1" applyFont="1" applyFill="0" applyBorder="1" applyAlignment="1" applyProtection="0">
      <alignment horizontal="center" vertical="center" wrapText="1"/>
    </xf>
    <xf numFmtId="59" fontId="0" borderId="6"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5" fillId="8" borderId="7" applyNumberFormat="0" applyFont="1" applyFill="1" applyBorder="1" applyAlignment="1" applyProtection="0">
      <alignment horizontal="center" vertical="center" wrapText="1"/>
    </xf>
    <xf numFmtId="49" fontId="5" fillId="8" borderId="7" applyNumberFormat="1" applyFont="1" applyFill="1" applyBorder="1" applyAlignment="1" applyProtection="0">
      <alignment horizontal="center" vertical="center" wrapText="1"/>
    </xf>
    <xf numFmtId="0" fontId="5" fillId="8" borderId="7" applyNumberFormat="0" applyFont="1" applyFill="1" applyBorder="1" applyAlignment="1" applyProtection="0">
      <alignment vertical="top" wrapText="1"/>
    </xf>
    <xf numFmtId="1" fontId="5" fillId="8" borderId="7" applyNumberFormat="1" applyFont="1" applyFill="1" applyBorder="1" applyAlignment="1" applyProtection="0">
      <alignment horizontal="center" vertical="center" wrapText="1"/>
    </xf>
    <xf numFmtId="0" fontId="5" fillId="8" borderId="1" applyNumberFormat="0" applyFont="1" applyFill="1" applyBorder="1" applyAlignment="1" applyProtection="0">
      <alignment horizontal="center" vertical="center" wrapText="1"/>
    </xf>
    <xf numFmtId="0" fontId="5" fillId="9" borderId="2" applyNumberFormat="1" applyFont="1" applyFill="1" applyBorder="1" applyAlignment="1" applyProtection="0">
      <alignment horizontal="center" vertical="center" wrapText="1"/>
    </xf>
    <xf numFmtId="0" fontId="0" borderId="3" applyNumberFormat="1" applyFont="1" applyFill="0" applyBorder="1" applyAlignment="1" applyProtection="0">
      <alignment horizontal="center" vertical="center" wrapText="1"/>
    </xf>
    <xf numFmtId="0" fontId="0" borderId="4" applyNumberFormat="1" applyFont="1" applyFill="0" applyBorder="1" applyAlignment="1" applyProtection="0">
      <alignment horizontal="center" vertical="center" wrapText="1"/>
    </xf>
    <xf numFmtId="0" fontId="5" fillId="9" borderId="5" applyNumberFormat="1" applyFont="1" applyFill="1" applyBorder="1" applyAlignment="1" applyProtection="0">
      <alignment horizontal="center" vertical="center" wrapText="1"/>
    </xf>
    <xf numFmtId="0" fontId="0" borderId="6" applyNumberFormat="1" applyFont="1" applyFill="0" applyBorder="1" applyAlignment="1" applyProtection="0">
      <alignment horizontal="center" vertical="center" wrapText="1"/>
    </xf>
    <xf numFmtId="0" fontId="0" borderId="7"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1" fontId="5" fillId="8" borderId="1" applyNumberFormat="1" applyFont="1" applyFill="1" applyBorder="1" applyAlignment="1" applyProtection="0">
      <alignment vertical="top" wrapText="1"/>
    </xf>
    <xf numFmtId="1"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5a5a5"/>
      <rgbColor rgb="ff3f3f3f"/>
      <rgbColor rgb="ff56c1fe"/>
      <rgbColor rgb="ffff968c"/>
      <rgbColor rgb="ffff94ca"/>
      <rgbColor rgb="fffff056"/>
      <rgbColor rgb="ffbdc0b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135</v>
      </c>
      <c r="C11" s="3"/>
      <c r="D11" s="3"/>
    </row>
    <row r="12">
      <c r="B12" s="4"/>
      <c r="C12" t="s" s="4">
        <v>136</v>
      </c>
      <c r="D12" t="s" s="5">
        <v>137</v>
      </c>
    </row>
    <row r="13">
      <c r="B13" s="4"/>
      <c r="C13" t="s" s="4">
        <v>147</v>
      </c>
      <c r="D13" t="s" s="5">
        <v>148</v>
      </c>
    </row>
    <row r="14">
      <c r="B14" s="4"/>
      <c r="C14" t="s" s="4">
        <v>156</v>
      </c>
      <c r="D14" t="s" s="5">
        <v>157</v>
      </c>
    </row>
    <row r="15">
      <c r="B15" s="4"/>
      <c r="C15" t="s" s="4">
        <v>159</v>
      </c>
      <c r="D15" t="s" s="5">
        <v>160</v>
      </c>
    </row>
    <row r="16">
      <c r="B16" s="4"/>
      <c r="C16" t="s" s="4">
        <v>164</v>
      </c>
      <c r="D16" t="s" s="5">
        <v>165</v>
      </c>
    </row>
    <row r="17">
      <c r="B17" s="4"/>
      <c r="C17" t="s" s="4">
        <v>176</v>
      </c>
      <c r="D17" t="s" s="5">
        <v>177</v>
      </c>
    </row>
    <row r="18">
      <c r="B18" s="4"/>
      <c r="C18" t="s" s="4">
        <v>178</v>
      </c>
      <c r="D18" t="s" s="5">
        <v>179</v>
      </c>
    </row>
  </sheetData>
  <mergeCells count="1">
    <mergeCell ref="B3:D3"/>
  </mergeCells>
  <hyperlinks>
    <hyperlink ref="D10" location="'Sheet 1'!R1C1" tooltip="" display="Sheet 1"/>
    <hyperlink ref="D12" location="'Sheet 2 - Базовые переменные'!R2C1" tooltip="" display="Sheet 2 - Базовые переменные"/>
    <hyperlink ref="D13" location="'Sheet 2 - Синие карты'!R2C1" tooltip="" display="Sheet 2 - Синие карты"/>
    <hyperlink ref="D14" location="'Sheet 2 - Красные карты'!R2C1" tooltip="" display="Sheet 2 - Красные карты"/>
    <hyperlink ref="D15" location="'Sheet 2 - Вероятность выпадения'!R2C1" tooltip="" display="Sheet 2 - Вероятность выпадения"/>
    <hyperlink ref="D16" location="'Sheet 2 - Баланс игроков в ход '!R2C1" tooltip="" display="Sheet 2 - Баланс игроков в ход "/>
    <hyperlink ref="D17" location="'Sheet 2 - Фиолетовые карты'!R2C1" tooltip="" display="Sheet 2 - Фиолетовые карты"/>
    <hyperlink ref="D18" location="'Sheet 2 - Золотые карты'!R2C1" tooltip="" display="Sheet 2 - Золотые карты"/>
  </hyperlinks>
</worksheet>
</file>

<file path=xl/worksheets/sheet2.xml><?xml version="1.0" encoding="utf-8"?>
<worksheet xmlns:r="http://schemas.openxmlformats.org/officeDocument/2006/relationships" xmlns="http://schemas.openxmlformats.org/spreadsheetml/2006/main">
  <dimension ref="A1:I25"/>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9" width="16.3516" style="6" customWidth="1"/>
    <col min="10" max="16384" width="16.3516" style="6" customWidth="1"/>
  </cols>
  <sheetData>
    <row r="1" ht="20.2" customHeight="1">
      <c r="A1" t="s" s="7">
        <v>6</v>
      </c>
      <c r="B1" t="s" s="7">
        <v>7</v>
      </c>
      <c r="C1" t="s" s="7">
        <v>8</v>
      </c>
      <c r="D1" t="s" s="7">
        <v>9</v>
      </c>
      <c r="E1" t="s" s="7">
        <v>10</v>
      </c>
      <c r="F1" t="s" s="7">
        <v>11</v>
      </c>
      <c r="G1" t="s" s="7">
        <v>12</v>
      </c>
      <c r="H1" t="s" s="7">
        <v>13</v>
      </c>
      <c r="I1" t="s" s="7">
        <v>14</v>
      </c>
    </row>
    <row r="2" ht="76.2" customHeight="1">
      <c r="A2" t="s" s="8">
        <v>15</v>
      </c>
      <c r="B2" t="s" s="9">
        <v>16</v>
      </c>
      <c r="C2" t="s" s="10">
        <v>17</v>
      </c>
      <c r="D2" s="11">
        <v>1</v>
      </c>
      <c r="E2" s="11">
        <v>1</v>
      </c>
      <c r="F2" t="s" s="10">
        <v>18</v>
      </c>
      <c r="G2" t="s" s="10">
        <v>19</v>
      </c>
      <c r="H2" s="11">
        <v>10</v>
      </c>
      <c r="I2" t="s" s="10">
        <v>20</v>
      </c>
    </row>
    <row r="3" ht="100" customHeight="1">
      <c r="A3" t="s" s="12">
        <v>21</v>
      </c>
      <c r="B3" t="s" s="13">
        <v>16</v>
      </c>
      <c r="C3" t="s" s="14">
        <v>22</v>
      </c>
      <c r="D3" s="15">
        <v>1</v>
      </c>
      <c r="E3" s="15">
        <v>2</v>
      </c>
      <c r="F3" t="s" s="14">
        <v>23</v>
      </c>
      <c r="G3" t="s" s="14">
        <v>24</v>
      </c>
      <c r="H3" s="15">
        <v>10</v>
      </c>
      <c r="I3" t="s" s="14">
        <v>20</v>
      </c>
    </row>
    <row r="4" ht="76" customHeight="1">
      <c r="A4" t="s" s="12">
        <v>25</v>
      </c>
      <c r="B4" t="s" s="13">
        <v>16</v>
      </c>
      <c r="C4" t="s" s="14">
        <v>26</v>
      </c>
      <c r="D4" s="15">
        <v>2</v>
      </c>
      <c r="E4" s="15">
        <v>3</v>
      </c>
      <c r="F4" t="s" s="14">
        <v>27</v>
      </c>
      <c r="G4" t="s" s="14">
        <v>28</v>
      </c>
      <c r="H4" s="15">
        <v>10</v>
      </c>
      <c r="I4" t="s" s="14">
        <v>29</v>
      </c>
    </row>
    <row r="5" ht="76" customHeight="1">
      <c r="A5" t="s" s="12">
        <v>30</v>
      </c>
      <c r="B5" t="s" s="13">
        <v>16</v>
      </c>
      <c r="C5" t="s" s="14">
        <v>31</v>
      </c>
      <c r="D5" s="15">
        <v>2</v>
      </c>
      <c r="E5" s="15">
        <v>4</v>
      </c>
      <c r="F5" t="s" s="14">
        <v>32</v>
      </c>
      <c r="G5" t="s" s="14">
        <v>33</v>
      </c>
      <c r="H5" s="15">
        <v>10</v>
      </c>
      <c r="I5" t="s" s="14">
        <v>29</v>
      </c>
    </row>
    <row r="6" ht="52" customHeight="1">
      <c r="A6" t="s" s="12">
        <v>34</v>
      </c>
      <c r="B6" t="s" s="13">
        <v>16</v>
      </c>
      <c r="C6" t="s" s="14">
        <v>35</v>
      </c>
      <c r="D6" s="15">
        <v>3</v>
      </c>
      <c r="E6" s="15">
        <v>5</v>
      </c>
      <c r="F6" t="s" s="14">
        <v>36</v>
      </c>
      <c r="G6" t="s" s="14">
        <v>37</v>
      </c>
      <c r="H6" s="15">
        <v>10</v>
      </c>
      <c r="I6" t="s" s="14">
        <v>38</v>
      </c>
    </row>
    <row r="7" ht="76" customHeight="1">
      <c r="A7" t="s" s="12">
        <v>39</v>
      </c>
      <c r="B7" t="s" s="13">
        <v>16</v>
      </c>
      <c r="C7" t="s" s="14">
        <v>40</v>
      </c>
      <c r="D7" s="15">
        <v>3</v>
      </c>
      <c r="E7" s="15">
        <v>6</v>
      </c>
      <c r="F7" t="s" s="14">
        <v>41</v>
      </c>
      <c r="G7" t="s" s="14">
        <v>42</v>
      </c>
      <c r="H7" s="15">
        <v>10</v>
      </c>
      <c r="I7" t="s" s="14">
        <v>38</v>
      </c>
    </row>
    <row r="8" ht="88" customHeight="1">
      <c r="A8" t="s" s="12">
        <v>43</v>
      </c>
      <c r="B8" t="s" s="13">
        <v>16</v>
      </c>
      <c r="C8" t="s" s="14">
        <v>44</v>
      </c>
      <c r="D8" s="15">
        <v>4</v>
      </c>
      <c r="E8" s="15">
        <v>7</v>
      </c>
      <c r="F8" t="s" s="14">
        <v>45</v>
      </c>
      <c r="G8" t="s" s="14">
        <v>46</v>
      </c>
      <c r="H8" s="15">
        <v>10</v>
      </c>
      <c r="I8" t="s" s="14">
        <v>47</v>
      </c>
    </row>
    <row r="9" ht="76" customHeight="1">
      <c r="A9" t="s" s="12">
        <v>48</v>
      </c>
      <c r="B9" t="s" s="13">
        <v>16</v>
      </c>
      <c r="C9" t="s" s="14">
        <v>49</v>
      </c>
      <c r="D9" s="15">
        <v>4</v>
      </c>
      <c r="E9" s="15">
        <v>8</v>
      </c>
      <c r="F9" t="s" s="14">
        <v>50</v>
      </c>
      <c r="G9" t="s" s="14">
        <v>51</v>
      </c>
      <c r="H9" s="15">
        <v>10</v>
      </c>
      <c r="I9" t="s" s="14">
        <v>47</v>
      </c>
    </row>
    <row r="10" ht="76" customHeight="1">
      <c r="A10" t="s" s="12">
        <v>52</v>
      </c>
      <c r="B10" t="s" s="13">
        <v>16</v>
      </c>
      <c r="C10" t="s" s="14">
        <v>53</v>
      </c>
      <c r="D10" s="15">
        <v>5</v>
      </c>
      <c r="E10" s="15">
        <v>9</v>
      </c>
      <c r="F10" t="s" s="14">
        <v>54</v>
      </c>
      <c r="G10" t="s" s="14">
        <v>55</v>
      </c>
      <c r="H10" s="15">
        <v>10</v>
      </c>
      <c r="I10" t="s" s="14">
        <v>56</v>
      </c>
    </row>
    <row r="11" ht="64" customHeight="1">
      <c r="A11" t="s" s="12">
        <v>57</v>
      </c>
      <c r="B11" t="s" s="13">
        <v>16</v>
      </c>
      <c r="C11" t="s" s="14">
        <v>58</v>
      </c>
      <c r="D11" s="15">
        <v>5</v>
      </c>
      <c r="E11" s="15">
        <v>10</v>
      </c>
      <c r="F11" t="s" s="14">
        <v>59</v>
      </c>
      <c r="G11" t="s" s="14">
        <v>60</v>
      </c>
      <c r="H11" s="15">
        <v>10</v>
      </c>
      <c r="I11" t="s" s="14">
        <v>56</v>
      </c>
    </row>
    <row r="12" ht="88" customHeight="1">
      <c r="A12" t="s" s="16">
        <v>61</v>
      </c>
      <c r="B12" t="s" s="17">
        <v>62</v>
      </c>
      <c r="C12" t="s" s="18">
        <v>63</v>
      </c>
      <c r="D12" s="19">
        <v>1</v>
      </c>
      <c r="E12" s="19">
        <v>1</v>
      </c>
      <c r="F12" t="s" s="18">
        <v>64</v>
      </c>
      <c r="G12" t="s" s="18">
        <v>65</v>
      </c>
      <c r="H12" s="19">
        <v>30</v>
      </c>
      <c r="I12" t="s" s="18">
        <v>66</v>
      </c>
    </row>
    <row r="13" ht="88" customHeight="1">
      <c r="A13" t="s" s="16">
        <v>67</v>
      </c>
      <c r="B13" t="s" s="17">
        <v>62</v>
      </c>
      <c r="C13" t="s" s="18">
        <v>68</v>
      </c>
      <c r="D13" s="19">
        <v>2</v>
      </c>
      <c r="E13" s="19">
        <v>2</v>
      </c>
      <c r="F13" t="s" s="18">
        <v>69</v>
      </c>
      <c r="G13" t="s" s="18">
        <v>70</v>
      </c>
      <c r="H13" s="19">
        <v>30</v>
      </c>
      <c r="I13" t="s" s="18">
        <v>71</v>
      </c>
    </row>
    <row r="14" ht="88" customHeight="1">
      <c r="A14" t="s" s="16">
        <v>72</v>
      </c>
      <c r="B14" t="s" s="17">
        <v>62</v>
      </c>
      <c r="C14" t="s" s="18">
        <v>73</v>
      </c>
      <c r="D14" s="19">
        <v>3</v>
      </c>
      <c r="E14" s="19">
        <v>3</v>
      </c>
      <c r="F14" t="s" s="18">
        <v>74</v>
      </c>
      <c r="G14" t="s" s="18">
        <v>75</v>
      </c>
      <c r="H14" s="19">
        <v>30</v>
      </c>
      <c r="I14" t="s" s="18">
        <v>76</v>
      </c>
    </row>
    <row r="15" ht="100" customHeight="1">
      <c r="A15" t="s" s="16">
        <v>77</v>
      </c>
      <c r="B15" t="s" s="17">
        <v>62</v>
      </c>
      <c r="C15" t="s" s="18">
        <v>78</v>
      </c>
      <c r="D15" s="19">
        <v>4</v>
      </c>
      <c r="E15" s="19">
        <v>4</v>
      </c>
      <c r="F15" t="s" s="18">
        <v>79</v>
      </c>
      <c r="G15" t="s" s="18">
        <v>80</v>
      </c>
      <c r="H15" s="19">
        <v>30</v>
      </c>
      <c r="I15" t="s" s="18">
        <v>81</v>
      </c>
    </row>
    <row r="16" ht="88" customHeight="1">
      <c r="A16" t="s" s="16">
        <v>82</v>
      </c>
      <c r="B16" t="s" s="17">
        <v>62</v>
      </c>
      <c r="C16" t="s" s="18">
        <v>83</v>
      </c>
      <c r="D16" s="19">
        <v>4</v>
      </c>
      <c r="E16" s="19">
        <v>5</v>
      </c>
      <c r="F16" t="s" s="18">
        <v>84</v>
      </c>
      <c r="G16" t="s" s="18">
        <v>85</v>
      </c>
      <c r="H16" s="19">
        <v>30</v>
      </c>
      <c r="I16" t="s" s="18">
        <v>86</v>
      </c>
    </row>
    <row r="17" ht="100" customHeight="1">
      <c r="A17" t="s" s="16">
        <v>87</v>
      </c>
      <c r="B17" t="s" s="17">
        <v>62</v>
      </c>
      <c r="C17" t="s" s="18">
        <v>88</v>
      </c>
      <c r="D17" s="19">
        <v>5</v>
      </c>
      <c r="E17" s="19">
        <v>6</v>
      </c>
      <c r="F17" t="s" s="18">
        <v>89</v>
      </c>
      <c r="G17" t="s" s="18">
        <v>90</v>
      </c>
      <c r="H17" s="19">
        <v>30</v>
      </c>
      <c r="I17" t="s" s="18">
        <v>91</v>
      </c>
    </row>
    <row r="18" ht="100" customHeight="1">
      <c r="A18" t="s" s="16">
        <v>92</v>
      </c>
      <c r="B18" t="s" s="17">
        <v>62</v>
      </c>
      <c r="C18" t="s" s="18">
        <v>93</v>
      </c>
      <c r="D18" s="19">
        <v>6</v>
      </c>
      <c r="E18" s="19">
        <v>7</v>
      </c>
      <c r="F18" t="s" s="18">
        <v>94</v>
      </c>
      <c r="G18" t="s" s="18">
        <v>95</v>
      </c>
      <c r="H18" s="19">
        <v>30</v>
      </c>
      <c r="I18" t="s" s="18">
        <v>96</v>
      </c>
    </row>
    <row r="19" ht="100" customHeight="1">
      <c r="A19" t="s" s="16">
        <v>97</v>
      </c>
      <c r="B19" t="s" s="17">
        <v>62</v>
      </c>
      <c r="C19" t="s" s="18">
        <v>98</v>
      </c>
      <c r="D19" s="19">
        <v>7</v>
      </c>
      <c r="E19" s="19">
        <v>8</v>
      </c>
      <c r="F19" t="s" s="18">
        <v>99</v>
      </c>
      <c r="G19" t="s" s="18">
        <v>100</v>
      </c>
      <c r="H19" s="19">
        <v>30</v>
      </c>
      <c r="I19" t="s" s="18">
        <v>101</v>
      </c>
    </row>
    <row r="20" ht="100" customHeight="1">
      <c r="A20" t="s" s="16">
        <v>102</v>
      </c>
      <c r="B20" t="s" s="17">
        <v>62</v>
      </c>
      <c r="C20" t="s" s="18">
        <v>103</v>
      </c>
      <c r="D20" s="19">
        <v>8</v>
      </c>
      <c r="E20" s="19">
        <v>9</v>
      </c>
      <c r="F20" t="s" s="18">
        <v>104</v>
      </c>
      <c r="G20" t="s" s="18">
        <v>105</v>
      </c>
      <c r="H20" s="19">
        <v>30</v>
      </c>
      <c r="I20" t="s" s="18">
        <v>106</v>
      </c>
    </row>
    <row r="21" ht="88" customHeight="1">
      <c r="A21" t="s" s="16">
        <v>107</v>
      </c>
      <c r="B21" t="s" s="17">
        <v>62</v>
      </c>
      <c r="C21" t="s" s="18">
        <v>108</v>
      </c>
      <c r="D21" s="19">
        <v>9</v>
      </c>
      <c r="E21" s="19">
        <v>10</v>
      </c>
      <c r="F21" t="s" s="18">
        <v>109</v>
      </c>
      <c r="G21" t="s" s="18">
        <v>110</v>
      </c>
      <c r="H21" s="19">
        <v>30</v>
      </c>
      <c r="I21" t="s" s="18">
        <v>111</v>
      </c>
    </row>
    <row r="22" ht="88" customHeight="1">
      <c r="A22" t="s" s="20">
        <v>112</v>
      </c>
      <c r="B22" t="s" s="21">
        <v>113</v>
      </c>
      <c r="C22" t="s" s="22">
        <v>114</v>
      </c>
      <c r="D22" s="23">
        <v>1</v>
      </c>
      <c r="E22" t="s" s="22">
        <v>115</v>
      </c>
      <c r="F22" t="s" s="22">
        <v>116</v>
      </c>
      <c r="G22" t="s" s="22">
        <v>117</v>
      </c>
      <c r="H22" s="23">
        <v>10</v>
      </c>
      <c r="I22" t="s" s="22">
        <v>118</v>
      </c>
    </row>
    <row r="23" ht="100" customHeight="1">
      <c r="A23" t="s" s="24">
        <v>119</v>
      </c>
      <c r="B23" t="s" s="25">
        <v>120</v>
      </c>
      <c r="C23" t="s" s="26">
        <v>121</v>
      </c>
      <c r="D23" s="27">
        <v>3</v>
      </c>
      <c r="E23" s="27">
        <v>1</v>
      </c>
      <c r="F23" t="s" s="26">
        <v>122</v>
      </c>
      <c r="G23" t="s" s="26">
        <v>123</v>
      </c>
      <c r="H23" s="27">
        <v>50</v>
      </c>
      <c r="I23" t="s" s="26">
        <v>124</v>
      </c>
    </row>
    <row r="24" ht="100" customHeight="1">
      <c r="A24" t="s" s="24">
        <v>125</v>
      </c>
      <c r="B24" t="s" s="25">
        <v>120</v>
      </c>
      <c r="C24" t="s" s="26">
        <v>126</v>
      </c>
      <c r="D24" s="27">
        <v>7</v>
      </c>
      <c r="E24" s="27">
        <v>2</v>
      </c>
      <c r="F24" t="s" s="26">
        <v>127</v>
      </c>
      <c r="G24" t="s" s="26">
        <v>128</v>
      </c>
      <c r="H24" s="27">
        <v>50</v>
      </c>
      <c r="I24" t="s" s="26">
        <v>129</v>
      </c>
    </row>
    <row r="25" ht="88" customHeight="1">
      <c r="A25" t="s" s="24">
        <v>130</v>
      </c>
      <c r="B25" t="s" s="25">
        <v>120</v>
      </c>
      <c r="C25" t="s" s="26">
        <v>131</v>
      </c>
      <c r="D25" s="27">
        <v>10</v>
      </c>
      <c r="E25" s="27">
        <v>3</v>
      </c>
      <c r="F25" t="s" s="26">
        <v>132</v>
      </c>
      <c r="G25" t="s" s="26">
        <v>133</v>
      </c>
      <c r="H25" s="27">
        <v>50</v>
      </c>
      <c r="I25" t="s" s="26">
        <v>134</v>
      </c>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B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2.8125" style="28" customWidth="1"/>
    <col min="2" max="2" width="30.7422" style="28" customWidth="1"/>
    <col min="3" max="16384" width="16.3516" style="28" customWidth="1"/>
  </cols>
  <sheetData>
    <row r="1" ht="27.65" customHeight="1">
      <c r="A1" t="s" s="29">
        <v>136</v>
      </c>
      <c r="B1" s="29"/>
    </row>
    <row r="2" ht="20.25" customHeight="1">
      <c r="A2" t="s" s="30">
        <v>138</v>
      </c>
      <c r="B2" t="s" s="30">
        <v>139</v>
      </c>
    </row>
    <row r="3" ht="20.25" customHeight="1">
      <c r="A3" t="s" s="31">
        <v>140</v>
      </c>
      <c r="B3" s="32">
        <v>3</v>
      </c>
    </row>
    <row r="4" ht="20.05" customHeight="1">
      <c r="A4" t="s" s="33">
        <v>141</v>
      </c>
      <c r="B4" s="34">
        <v>10</v>
      </c>
    </row>
    <row r="5" ht="20.05" customHeight="1">
      <c r="A5" t="s" s="33">
        <v>142</v>
      </c>
      <c r="B5" s="34">
        <v>20</v>
      </c>
    </row>
    <row r="6" ht="20.05" customHeight="1">
      <c r="A6" t="s" s="33">
        <v>143</v>
      </c>
      <c r="B6" s="34" cm="1">
        <f t="array" ref="B6">(B5-B4)/B9</f>
        <v>0.5</v>
      </c>
    </row>
    <row r="7" ht="20.05" customHeight="1">
      <c r="A7" t="s" s="33">
        <v>144</v>
      </c>
      <c r="B7" s="34">
        <v>4</v>
      </c>
    </row>
    <row r="8" ht="32.05" customHeight="1">
      <c r="A8" t="s" s="33">
        <v>145</v>
      </c>
      <c r="B8" s="34">
        <v>6</v>
      </c>
    </row>
    <row r="9" ht="32.05" customHeight="1">
      <c r="A9" t="s" s="33">
        <v>146</v>
      </c>
      <c r="B9" s="34">
        <v>20</v>
      </c>
    </row>
  </sheetData>
  <mergeCells count="1">
    <mergeCell ref="A1:B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G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5" width="16.3516" style="35" customWidth="1"/>
    <col min="6" max="6" width="18.4141" style="35" customWidth="1"/>
    <col min="7" max="7" width="16.3516" style="35" customWidth="1"/>
    <col min="8" max="16384" width="16.3516" style="35" customWidth="1"/>
  </cols>
  <sheetData>
    <row r="1" ht="27.65" customHeight="1">
      <c r="A1" t="s" s="29">
        <v>147</v>
      </c>
      <c r="B1" s="29"/>
      <c r="C1" s="29"/>
      <c r="D1" s="29"/>
      <c r="E1" s="29"/>
      <c r="F1" s="29"/>
      <c r="G1" s="29"/>
    </row>
    <row r="2" ht="32.25" customHeight="1">
      <c r="A2" t="s" s="36">
        <v>149</v>
      </c>
      <c r="B2" t="s" s="36">
        <v>115</v>
      </c>
      <c r="C2" t="s" s="36">
        <v>150</v>
      </c>
      <c r="D2" t="s" s="36">
        <v>151</v>
      </c>
      <c r="E2" t="s" s="36">
        <v>152</v>
      </c>
      <c r="F2" t="s" s="36">
        <v>153</v>
      </c>
      <c r="G2" s="37"/>
    </row>
    <row r="3" ht="20.25" customHeight="1">
      <c r="A3" s="38">
        <v>1</v>
      </c>
      <c r="B3" s="39"/>
      <c r="C3" t="s" s="40">
        <v>154</v>
      </c>
      <c r="D3" s="41" cm="1">
        <f t="array" ref="D3">F3/'Sheet 2 - Базовые переменные'!$B$7*VLOOKUP(C3,'Sheet 2 - Вероятность выпадения'!$A2:$B6,2,FALSE)</f>
        <v>0.52</v>
      </c>
      <c r="E3" s="42">
        <v>1</v>
      </c>
      <c r="F3" s="41" cm="1">
        <f t="array" ref="F3">AVERAGE('Sheet 2 - Базовые переменные'!$B$8:$B$9)*E3*'Sheet 2 - Базовые переменные'!$B$7*'Sheet 2 - Базовые переменные'!$B$7*VLOOKUP(C3,'Sheet 2 - Вероятность выпадения'!$A2:$B6,2,FALSE)</f>
        <v>20.8</v>
      </c>
      <c r="G3" s="43"/>
    </row>
    <row r="4" ht="20.05" customHeight="1">
      <c r="A4" s="44">
        <v>2</v>
      </c>
      <c r="B4" s="45"/>
      <c r="C4" t="s" s="46">
        <v>154</v>
      </c>
      <c r="D4" s="47" cm="1">
        <f t="array" ref="D4">F4/'Sheet 2 - Базовые переменные'!$B$7*VLOOKUP(C4,'Sheet 2 - Вероятность выпадения'!$A2:$B6,2,FALSE)</f>
        <v>1.04</v>
      </c>
      <c r="E4" s="48">
        <v>2</v>
      </c>
      <c r="F4" s="47" cm="1">
        <f t="array" ref="F4">AVERAGE('Sheet 2 - Базовые переменные'!$B$8:$B$9)*E4*'Sheet 2 - Базовые переменные'!$B$7*'Sheet 2 - Базовые переменные'!$B$7*VLOOKUP(C4,'Sheet 2 - Вероятность выпадения'!$A2:$B6,2,FALSE)</f>
        <v>41.6</v>
      </c>
      <c r="G4" s="49"/>
    </row>
    <row r="5" ht="20.05" customHeight="1">
      <c r="A5" s="44">
        <v>3</v>
      </c>
      <c r="B5" s="45"/>
      <c r="C5" t="s" s="46">
        <v>154</v>
      </c>
      <c r="D5" s="47" cm="1">
        <f t="array" ref="D5">F5/'Sheet 2 - Базовые переменные'!$B$7*VLOOKUP(C5,'Sheet 2 - Вероятность выпадения'!$A2:$B6,2,FALSE)</f>
        <v>1.56</v>
      </c>
      <c r="E5" s="48">
        <v>3</v>
      </c>
      <c r="F5" s="47" cm="1">
        <f t="array" ref="F5">AVERAGE('Sheet 2 - Базовые переменные'!$B$8:$B$9)*E5*'Sheet 2 - Базовые переменные'!$B$7*'Sheet 2 - Базовые переменные'!$B$7*VLOOKUP(C5,'Sheet 2 - Вероятность выпадения'!$A2:$B6,2,FALSE)</f>
        <v>62.4</v>
      </c>
      <c r="G5" s="49"/>
    </row>
    <row r="6" ht="20.05" customHeight="1">
      <c r="A6" s="44">
        <v>4</v>
      </c>
      <c r="B6" s="45"/>
      <c r="C6" t="s" s="46">
        <v>154</v>
      </c>
      <c r="D6" s="47" cm="1">
        <f t="array" ref="D6">F6/'Sheet 2 - Базовые переменные'!$B$7*VLOOKUP(C6,'Sheet 2 - Вероятность выпадения'!$A2:$B6,2,FALSE)</f>
        <v>2.08</v>
      </c>
      <c r="E6" s="48">
        <v>4</v>
      </c>
      <c r="F6" s="47" cm="1">
        <f t="array" ref="F6">AVERAGE('Sheet 2 - Базовые переменные'!$B$8:$B$9)*E6*'Sheet 2 - Базовые переменные'!$B$7*'Sheet 2 - Базовые переменные'!$B$7*VLOOKUP(C6,'Sheet 2 - Вероятность выпадения'!$A2:$B6,2,FALSE)</f>
        <v>83.2</v>
      </c>
      <c r="G6" s="49"/>
    </row>
    <row r="7" ht="20.05" customHeight="1">
      <c r="A7" s="44">
        <v>5</v>
      </c>
      <c r="B7" s="45"/>
      <c r="C7" t="s" s="46">
        <v>154</v>
      </c>
      <c r="D7" s="47" cm="1">
        <f t="array" ref="D7">F7/'Sheet 2 - Базовые переменные'!$B$7*VLOOKUP(C7,'Sheet 2 - Вероятность выпадения'!$A2:$B6,2,FALSE)</f>
        <v>2.6</v>
      </c>
      <c r="E7" s="48">
        <v>5</v>
      </c>
      <c r="F7" s="47" cm="1">
        <f t="array" ref="F7">AVERAGE('Sheet 2 - Базовые переменные'!$B$8:$B$9)*E7*'Sheet 2 - Базовые переменные'!$B$7*'Sheet 2 - Базовые переменные'!$B$7*VLOOKUP(C7,'Sheet 2 - Вероятность выпадения'!$A2:$B6,2,FALSE)</f>
        <v>104</v>
      </c>
      <c r="G7" s="49"/>
    </row>
    <row r="8" ht="20.05" customHeight="1">
      <c r="A8" s="44">
        <v>6</v>
      </c>
      <c r="B8" s="45"/>
      <c r="C8" t="s" s="46">
        <v>154</v>
      </c>
      <c r="D8" s="47" cm="1">
        <f t="array" ref="D8">F8/'Sheet 2 - Базовые переменные'!$B$7*VLOOKUP(C8,'Sheet 2 - Вероятность выпадения'!$A2:$B6,2,FALSE)</f>
        <v>3.12</v>
      </c>
      <c r="E8" s="48">
        <v>6</v>
      </c>
      <c r="F8" s="47" cm="1">
        <f t="array" ref="F8">AVERAGE('Sheet 2 - Базовые переменные'!$B$8:$B$9)*E8*'Sheet 2 - Базовые переменные'!$B$7*'Sheet 2 - Базовые переменные'!$B$7*VLOOKUP(C8,'Sheet 2 - Вероятность выпадения'!$A2:$B6,2,FALSE)</f>
        <v>124.8</v>
      </c>
      <c r="G8" s="49"/>
    </row>
    <row r="9" ht="20.05" customHeight="1">
      <c r="A9" s="44">
        <v>7</v>
      </c>
      <c r="B9" s="45"/>
      <c r="C9" t="s" s="46">
        <v>154</v>
      </c>
      <c r="D9" s="47" cm="1">
        <f t="array" ref="D9">F9/'Sheet 2 - Базовые переменные'!$B$7*VLOOKUP(C9,'Sheet 2 - Вероятность выпадения'!$A2:$B6,2,FALSE)</f>
        <v>3.64</v>
      </c>
      <c r="E9" s="48">
        <v>7</v>
      </c>
      <c r="F9" s="47" cm="1">
        <f t="array" ref="F9">AVERAGE('Sheet 2 - Базовые переменные'!$B$8:$B$9)*E9*'Sheet 2 - Базовые переменные'!$B$7*'Sheet 2 - Базовые переменные'!$B$7*VLOOKUP(C9,'Sheet 2 - Вероятность выпадения'!$A2:$B6,2,FALSE)</f>
        <v>145.6</v>
      </c>
      <c r="G9" s="49"/>
    </row>
    <row r="10" ht="20.05" customHeight="1">
      <c r="A10" s="44">
        <v>8</v>
      </c>
      <c r="B10" s="45"/>
      <c r="C10" t="s" s="46">
        <v>154</v>
      </c>
      <c r="D10" s="47" cm="1">
        <f t="array" ref="D10">F10/'Sheet 2 - Базовые переменные'!$B$7*VLOOKUP(C10,'Sheet 2 - Вероятность выпадения'!$A2:$B6,2,FALSE)</f>
        <v>4.16</v>
      </c>
      <c r="E10" s="48">
        <v>8</v>
      </c>
      <c r="F10" s="47" cm="1">
        <f t="array" ref="F10">AVERAGE('Sheet 2 - Базовые переменные'!$B$8:$B$9)*E10*'Sheet 2 - Базовые переменные'!$B$7*'Sheet 2 - Базовые переменные'!$B$7*VLOOKUP(C10,'Sheet 2 - Вероятность выпадения'!$A2:$B6,2,FALSE)</f>
        <v>166.4</v>
      </c>
      <c r="G10" s="49"/>
    </row>
    <row r="11" ht="20.05" customHeight="1">
      <c r="A11" s="44">
        <v>9</v>
      </c>
      <c r="B11" s="45"/>
      <c r="C11" t="s" s="46">
        <v>154</v>
      </c>
      <c r="D11" s="47" cm="1">
        <f t="array" ref="D11">F11/'Sheet 2 - Базовые переменные'!$B$7*VLOOKUP(C11,'Sheet 2 - Вероятность выпадения'!$A2:$B6,2,FALSE)</f>
        <v>4.68</v>
      </c>
      <c r="E11" s="48">
        <v>9</v>
      </c>
      <c r="F11" s="47" cm="1">
        <f t="array" ref="F11">AVERAGE('Sheet 2 - Базовые переменные'!$B$8:$B$9)*E11*'Sheet 2 - Базовые переменные'!$B$7*'Sheet 2 - Базовые переменные'!$B$7*VLOOKUP(C11,'Sheet 2 - Вероятность выпадения'!$A2:$B6,2,FALSE)</f>
        <v>187.2</v>
      </c>
      <c r="G11" s="49"/>
    </row>
    <row r="12" ht="20.05" customHeight="1">
      <c r="A12" s="44">
        <v>10</v>
      </c>
      <c r="B12" s="45"/>
      <c r="C12" t="s" s="46">
        <v>154</v>
      </c>
      <c r="D12" s="47" cm="1">
        <f t="array" ref="D12">F12/'Sheet 2 - Базовые переменные'!$B$7*VLOOKUP(C12,'Sheet 2 - Вероятность выпадения'!$A2:$B6,2,FALSE)</f>
        <v>5.2</v>
      </c>
      <c r="E12" s="48">
        <v>10</v>
      </c>
      <c r="F12" s="47" cm="1">
        <f t="array" ref="F12">AVERAGE('Sheet 2 - Базовые переменные'!$B$8:$B$9)*E12*'Sheet 2 - Базовые переменные'!$B$7*'Sheet 2 - Базовые переменные'!$B$7*VLOOKUP(C12,'Sheet 2 - Вероятность выпадения'!$A2:$B6,2,FALSE)</f>
        <v>208</v>
      </c>
      <c r="G12" s="49"/>
    </row>
    <row r="13" ht="32.05" customHeight="1">
      <c r="A13" s="50"/>
      <c r="B13" t="s" s="51">
        <v>155</v>
      </c>
      <c r="C13" s="46"/>
      <c r="D13" s="47" cm="1">
        <f t="array" ref="D13">AVERAGE(D3:D12)</f>
        <v>2.86</v>
      </c>
      <c r="E13" s="49"/>
      <c r="F13" s="47" cm="1">
        <f t="array" ref="F13">AVERAGE(F3:F12)/AVERAGE('Sheet 2 - Базовые переменные'!B8:B9)</f>
        <v>8.800000000000001</v>
      </c>
      <c r="G13" s="49"/>
    </row>
  </sheetData>
  <mergeCells count="1">
    <mergeCell ref="A1:G1"/>
  </mergeCells>
  <dataValidations count="1">
    <dataValidation type="list" allowBlank="1" showInputMessage="1" showErrorMessage="1" sqref="C3:C12">
      <formula1>"Синий,Красный,Фиолетовый,Золотой"</formula1>
    </dataValidation>
  </dataValidation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G1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5" width="16.3516" style="52" customWidth="1"/>
    <col min="6" max="6" width="18.4141" style="52" customWidth="1"/>
    <col min="7" max="7" width="16.3516" style="52" customWidth="1"/>
    <col min="8" max="16384" width="16.3516" style="52" customWidth="1"/>
  </cols>
  <sheetData>
    <row r="1" ht="27.65" customHeight="1">
      <c r="A1" t="s" s="29">
        <v>156</v>
      </c>
      <c r="B1" s="29"/>
      <c r="C1" s="29"/>
      <c r="D1" s="29"/>
      <c r="E1" s="29"/>
      <c r="F1" s="29"/>
      <c r="G1" s="29"/>
    </row>
    <row r="2" ht="32.25" customHeight="1">
      <c r="A2" t="s" s="36">
        <v>149</v>
      </c>
      <c r="B2" t="s" s="36">
        <v>115</v>
      </c>
      <c r="C2" t="s" s="36">
        <v>150</v>
      </c>
      <c r="D2" t="s" s="36">
        <v>151</v>
      </c>
      <c r="E2" t="s" s="36">
        <v>152</v>
      </c>
      <c r="F2" t="s" s="36">
        <v>153</v>
      </c>
      <c r="G2" s="37"/>
    </row>
    <row r="3" ht="20.25" customHeight="1">
      <c r="A3" s="38">
        <v>1</v>
      </c>
      <c r="B3" s="39"/>
      <c r="C3" t="s" s="40">
        <v>158</v>
      </c>
      <c r="D3" s="41" cm="1">
        <f t="array" ref="D3">F3/'Sheet 2 - Базовые переменные'!$B$7*-1*VLOOKUP(C3,'Sheet 2 - Вероятность выпадения'!$A2:$B6,2,FALSE)</f>
        <v>0.8774999999999999</v>
      </c>
      <c r="E3" s="42">
        <v>1</v>
      </c>
      <c r="F3" s="41" cm="1">
        <f t="array" ref="F3">AVERAGE('Sheet 2 - Базовые переменные'!$B$8:$B$9)*E3*(-'Sheet 2 - Базовые переменные'!$B$7+1)*VLOOKUP(C3,'Sheet 2 - Вероятность выпадения'!$A2:$B6,2,FALSE)</f>
        <v>-11.7</v>
      </c>
      <c r="G3" s="43"/>
    </row>
    <row r="4" ht="20.05" customHeight="1">
      <c r="A4" s="44">
        <v>2</v>
      </c>
      <c r="B4" s="45"/>
      <c r="C4" t="s" s="46">
        <v>158</v>
      </c>
      <c r="D4" s="47" cm="1">
        <f t="array" ref="D4">F4/'Sheet 2 - Базовые переменные'!$B$7*-1*VLOOKUP(C4,'Sheet 2 - Вероятность выпадения'!$A2:$B6,2,FALSE)</f>
        <v>1.755</v>
      </c>
      <c r="E4" s="48">
        <v>2</v>
      </c>
      <c r="F4" s="47" cm="1">
        <f t="array" ref="F4">AVERAGE('Sheet 2 - Базовые переменные'!$B$8:$B$9)*E4*(-'Sheet 2 - Базовые переменные'!$B$7+1)*VLOOKUP(C4,'Sheet 2 - Вероятность выпадения'!$A2:$B6,2,FALSE)</f>
        <v>-23.4</v>
      </c>
      <c r="G4" s="49"/>
    </row>
    <row r="5" ht="20.05" customHeight="1">
      <c r="A5" s="44">
        <v>3</v>
      </c>
      <c r="B5" s="45"/>
      <c r="C5" t="s" s="46">
        <v>158</v>
      </c>
      <c r="D5" s="47" cm="1">
        <f t="array" ref="D5">F5/'Sheet 2 - Базовые переменные'!$B$7*-1*VLOOKUP(C5,'Sheet 2 - Вероятность выпадения'!$A2:$B6,2,FALSE)</f>
        <v>2.6325</v>
      </c>
      <c r="E5" s="48">
        <v>3</v>
      </c>
      <c r="F5" s="47" cm="1">
        <f t="array" ref="F5">AVERAGE('Sheet 2 - Базовые переменные'!$B$8:$B$9)*E5*(-'Sheet 2 - Базовые переменные'!$B$7+1)*VLOOKUP(C5,'Sheet 2 - Вероятность выпадения'!$A2:$B6,2,FALSE)</f>
        <v>-35.1</v>
      </c>
      <c r="G5" s="49"/>
    </row>
    <row r="6" ht="20.05" customHeight="1">
      <c r="A6" s="44">
        <v>4</v>
      </c>
      <c r="B6" s="45"/>
      <c r="C6" t="s" s="46">
        <v>158</v>
      </c>
      <c r="D6" s="47" cm="1">
        <f t="array" ref="D6">F6/'Sheet 2 - Базовые переменные'!$B$7*-1*VLOOKUP(C6,'Sheet 2 - Вероятность выпадения'!$A2:$B6,2,FALSE)</f>
        <v>3.51</v>
      </c>
      <c r="E6" s="48">
        <v>4</v>
      </c>
      <c r="F6" s="47" cm="1">
        <f t="array" ref="F6">AVERAGE('Sheet 2 - Базовые переменные'!$B$8:$B$9)*E6*(-'Sheet 2 - Базовые переменные'!$B$7+1)*VLOOKUP(C6,'Sheet 2 - Вероятность выпадения'!$A2:$B6,2,FALSE)</f>
        <v>-46.8</v>
      </c>
      <c r="G6" s="49"/>
    </row>
    <row r="7" ht="20.05" customHeight="1">
      <c r="A7" s="44">
        <v>5</v>
      </c>
      <c r="B7" s="45"/>
      <c r="C7" t="s" s="46">
        <v>158</v>
      </c>
      <c r="D7" s="47" cm="1">
        <f t="array" ref="D7">F7/'Sheet 2 - Базовые переменные'!$B$7*-1*VLOOKUP(C7,'Sheet 2 - Вероятность выпадения'!$A2:$B6,2,FALSE)</f>
        <v>4.3875</v>
      </c>
      <c r="E7" s="48">
        <v>5</v>
      </c>
      <c r="F7" s="47" cm="1">
        <f t="array" ref="F7">AVERAGE('Sheet 2 - Базовые переменные'!$B$8:$B$9)*E7*(-'Sheet 2 - Базовые переменные'!$B$7+1)*VLOOKUP(C7,'Sheet 2 - Вероятность выпадения'!$A2:$B6,2,FALSE)</f>
        <v>-58.5</v>
      </c>
      <c r="G7" s="49"/>
    </row>
    <row r="8" ht="20.05" customHeight="1">
      <c r="A8" s="44">
        <v>6</v>
      </c>
      <c r="B8" s="45"/>
      <c r="C8" t="s" s="46">
        <v>158</v>
      </c>
      <c r="D8" s="47" cm="1">
        <f t="array" ref="D8">F8/'Sheet 2 - Базовые переменные'!$B$7*-1*VLOOKUP(C8,'Sheet 2 - Вероятность выпадения'!$A2:$B6,2,FALSE)</f>
        <v>5.265</v>
      </c>
      <c r="E8" s="48">
        <v>6</v>
      </c>
      <c r="F8" s="47" cm="1">
        <f t="array" ref="F8">AVERAGE('Sheet 2 - Базовые переменные'!$B$8:$B$9)*E8*(-'Sheet 2 - Базовые переменные'!$B$7+1)*VLOOKUP(C8,'Sheet 2 - Вероятность выпадения'!$A2:$B6,2,FALSE)</f>
        <v>-70.2</v>
      </c>
      <c r="G8" s="49"/>
    </row>
    <row r="9" ht="20.05" customHeight="1">
      <c r="A9" s="44">
        <v>7</v>
      </c>
      <c r="B9" s="45"/>
      <c r="C9" t="s" s="46">
        <v>158</v>
      </c>
      <c r="D9" s="47" cm="1">
        <f t="array" ref="D9">F9/'Sheet 2 - Базовые переменные'!$B$7*-1*VLOOKUP(C9,'Sheet 2 - Вероятность выпадения'!$A2:$B6,2,FALSE)</f>
        <v>6.1425</v>
      </c>
      <c r="E9" s="48">
        <v>7</v>
      </c>
      <c r="F9" s="47" cm="1">
        <f t="array" ref="F9">AVERAGE('Sheet 2 - Базовые переменные'!$B$8:$B$9)*E9*(-'Sheet 2 - Базовые переменные'!$B$7+1)*VLOOKUP(C9,'Sheet 2 - Вероятность выпадения'!$A2:$B6,2,FALSE)</f>
        <v>-81.90000000000001</v>
      </c>
      <c r="G9" s="49"/>
    </row>
    <row r="10" ht="20.05" customHeight="1">
      <c r="A10" s="44">
        <v>8</v>
      </c>
      <c r="B10" s="45"/>
      <c r="C10" t="s" s="46">
        <v>158</v>
      </c>
      <c r="D10" s="47" cm="1">
        <f t="array" ref="D10">F10/'Sheet 2 - Базовые переменные'!$B$7*-1*VLOOKUP(C10,'Sheet 2 - Вероятность выпадения'!$A2:$B6,2,FALSE)</f>
        <v>7.02</v>
      </c>
      <c r="E10" s="48">
        <v>8</v>
      </c>
      <c r="F10" s="47" cm="1">
        <f t="array" ref="F10">AVERAGE('Sheet 2 - Базовые переменные'!$B$8:$B$9)*E10*(-'Sheet 2 - Базовые переменные'!$B$7+1)*VLOOKUP(C10,'Sheet 2 - Вероятность выпадения'!$A2:$B6,2,FALSE)</f>
        <v>-93.59999999999999</v>
      </c>
      <c r="G10" s="49"/>
    </row>
    <row r="11" ht="20.05" customHeight="1">
      <c r="A11" s="44">
        <v>9</v>
      </c>
      <c r="B11" s="45"/>
      <c r="C11" t="s" s="46">
        <v>158</v>
      </c>
      <c r="D11" s="47" cm="1">
        <f t="array" ref="D11">F11/'Sheet 2 - Базовые переменные'!$B$7*-1*VLOOKUP(C11,'Sheet 2 - Вероятность выпадения'!$A2:$B6,2,FALSE)</f>
        <v>7.8975</v>
      </c>
      <c r="E11" s="48">
        <v>9</v>
      </c>
      <c r="F11" s="47" cm="1">
        <f t="array" ref="F11">AVERAGE('Sheet 2 - Базовые переменные'!$B$8:$B$9)*E11*(-'Sheet 2 - Базовые переменные'!$B$7+1)*VLOOKUP(C11,'Sheet 2 - Вероятность выпадения'!$A2:$B6,2,FALSE)</f>
        <v>-105.3</v>
      </c>
      <c r="G11" s="49"/>
    </row>
    <row r="12" ht="20.05" customHeight="1">
      <c r="A12" s="44">
        <v>10</v>
      </c>
      <c r="B12" s="45"/>
      <c r="C12" t="s" s="46">
        <v>158</v>
      </c>
      <c r="D12" s="47" cm="1">
        <f t="array" ref="D12">F12/'Sheet 2 - Базовые переменные'!$B$7*-1*VLOOKUP(C12,'Sheet 2 - Вероятность выпадения'!$A2:$B6,2,FALSE)</f>
        <v>8.775</v>
      </c>
      <c r="E12" s="48">
        <v>10</v>
      </c>
      <c r="F12" s="47" cm="1">
        <f t="array" ref="F12">AVERAGE('Sheet 2 - Базовые переменные'!$B$8:$B$9)*E12*(-'Sheet 2 - Базовые переменные'!$B$7+1)*VLOOKUP(C12,'Sheet 2 - Вероятность выпадения'!$A2:$B6,2,FALSE)</f>
        <v>-117</v>
      </c>
      <c r="G12" s="49"/>
    </row>
    <row r="13" ht="32.05" customHeight="1">
      <c r="A13" s="50"/>
      <c r="B13" t="s" s="51">
        <v>155</v>
      </c>
      <c r="C13" s="46"/>
      <c r="D13" s="47" cm="1">
        <f t="array" ref="D13">AVERAGE(D3:D12)</f>
        <v>4.82625</v>
      </c>
      <c r="E13" s="49"/>
      <c r="F13" s="47" cm="1">
        <f t="array" ref="F13">AVERAGE(F3:F12)/AVERAGE('Sheet 2 - Базовые переменные'!B8:B9)</f>
        <v>-4.95</v>
      </c>
      <c r="G13" s="49"/>
    </row>
  </sheetData>
  <mergeCells count="1">
    <mergeCell ref="A1:G1"/>
  </mergeCells>
  <dataValidations count="1">
    <dataValidation type="list" allowBlank="1" showInputMessage="1" showErrorMessage="1" sqref="C3:C12">
      <formula1>"Синий,Красный,Фиолетовый,Золотой"</formula1>
    </dataValidation>
  </dataValidation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B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53" customWidth="1"/>
    <col min="3" max="16384" width="16.3516" style="53" customWidth="1"/>
  </cols>
  <sheetData>
    <row r="1" ht="27.65" customHeight="1">
      <c r="A1" t="s" s="29">
        <v>159</v>
      </c>
      <c r="B1" s="29"/>
    </row>
    <row r="2" ht="20.25" customHeight="1">
      <c r="A2" t="s" s="30">
        <v>150</v>
      </c>
      <c r="B2" t="s" s="30">
        <v>161</v>
      </c>
    </row>
    <row r="3" ht="20.25" customHeight="1">
      <c r="A3" t="s" s="31">
        <v>154</v>
      </c>
      <c r="B3" s="54">
        <v>0.1</v>
      </c>
    </row>
    <row r="4" ht="20.05" customHeight="1">
      <c r="A4" t="s" s="33">
        <v>158</v>
      </c>
      <c r="B4" s="55">
        <v>0.3</v>
      </c>
    </row>
    <row r="5" ht="20.05" customHeight="1">
      <c r="A5" t="s" s="33">
        <v>162</v>
      </c>
      <c r="B5" s="55">
        <v>0.1</v>
      </c>
    </row>
    <row r="6" ht="20.05" customHeight="1">
      <c r="A6" t="s" s="33">
        <v>163</v>
      </c>
      <c r="B6" s="55">
        <v>0.5</v>
      </c>
    </row>
  </sheetData>
  <mergeCells count="1">
    <mergeCell ref="A1:B1"/>
  </mergeCells>
  <dataValidations count="1">
    <dataValidation type="list" allowBlank="1" showInputMessage="1" showErrorMessage="1" sqref="A3:A6">
      <formula1>"Синий,Красный,Фиолетовый,Золотой"</formula1>
    </dataValidation>
  </dataValidation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2:I23"/>
  <sheetViews>
    <sheetView workbookViewId="0" showGridLines="0" defaultGridColor="1">
      <pane topLeftCell="B4" xSplit="1" ySplit="3" activePane="bottomRight" state="frozen"/>
    </sheetView>
  </sheetViews>
  <sheetFormatPr defaultColWidth="16.3333" defaultRowHeight="19.9" customHeight="1" outlineLevelRow="0" outlineLevelCol="0"/>
  <cols>
    <col min="1" max="9" width="16.3516" style="56" customWidth="1"/>
    <col min="10" max="16384" width="16.3516" style="56" customWidth="1"/>
  </cols>
  <sheetData>
    <row r="1" ht="27.65" customHeight="1">
      <c r="A1" t="s" s="29">
        <v>164</v>
      </c>
      <c r="B1" s="29"/>
      <c r="C1" s="29"/>
      <c r="D1" s="29"/>
      <c r="E1" s="29"/>
      <c r="F1" s="29"/>
      <c r="G1" s="29"/>
      <c r="H1" s="29"/>
      <c r="I1" s="29"/>
    </row>
    <row r="2" ht="20.05" customHeight="1">
      <c r="A2" s="57"/>
      <c r="B2" s="57"/>
      <c r="C2" t="s" s="58">
        <v>166</v>
      </c>
      <c r="D2" s="59"/>
      <c r="E2" s="59"/>
      <c r="F2" s="59"/>
      <c r="G2" s="57"/>
      <c r="H2" s="60"/>
      <c r="I2" s="57"/>
    </row>
    <row r="3" ht="44.25" customHeight="1">
      <c r="A3" t="s" s="30">
        <v>167</v>
      </c>
      <c r="B3" t="s" s="30">
        <v>168</v>
      </c>
      <c r="C3" t="str" s="61" cm="1">
        <f t="array" ref="C3">'Sheet 2 - Вероятность выпадения'!$A3</f>
        <v>Синий</v>
      </c>
      <c r="D3" t="str" s="61" cm="1">
        <f t="array" ref="D3">'Sheet 2 - Вероятность выпадения'!$A4</f>
        <v>Красный</v>
      </c>
      <c r="E3" t="str" s="61" cm="1">
        <f t="array" ref="E3">'Sheet 2 - Вероятность выпадения'!$A5</f>
        <v>Фиолетовый</v>
      </c>
      <c r="F3" t="str" s="61" cm="1">
        <f t="array" ref="F3">'Sheet 2 - Вероятность выпадения'!$A6</f>
        <v>Золотой</v>
      </c>
      <c r="G3" t="s" s="30">
        <v>173</v>
      </c>
      <c r="H3" t="s" s="30">
        <v>174</v>
      </c>
      <c r="I3" t="s" s="30">
        <v>175</v>
      </c>
    </row>
    <row r="4" ht="20.25" customHeight="1">
      <c r="A4" s="62">
        <v>1</v>
      </c>
      <c r="B4" s="63" cm="1">
        <f t="array" ref="B4">(AVERAGE('Sheet 2 - Базовые переменные'!$B$3:$B$4))+$A4*'Sheet 2 - Базовые переменные'!$B$6*'Sheet 2 - Базовые переменные'!$B$7</f>
        <v>8.5</v>
      </c>
      <c r="C4" s="64" cm="1">
        <f t="array" ref="C4">'Sheet 2 - Синие карты'!$F$13*$A4</f>
        <v>8.800000000000001</v>
      </c>
      <c r="D4" s="64" cm="1">
        <f t="array" ref="D4">'Sheet 2 - Красные карты'!$F$13*$A4</f>
        <v>-4.95</v>
      </c>
      <c r="E4" s="64" cm="1">
        <f t="array" ref="E4">'Sheet 2 - Фиолетовые карты'!$F$4*$A4</f>
        <v>0.5580000000000001</v>
      </c>
      <c r="F4" s="64" cm="1">
        <f t="array" ref="F4">'Sheet 2 - Золотые карты'!$F$6*$A4</f>
        <v>4</v>
      </c>
      <c r="G4" s="64" cm="1">
        <f t="array" ref="G4">SUM(B4:F4)</f>
        <v>16.908</v>
      </c>
      <c r="H4" s="64" cm="1">
        <f t="array" ref="H4">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4" s="64" cm="1">
        <f t="array" ref="I4">G4/'Sheet 2 - Базовые переменные'!$B$7-H4</f>
        <v>2.9764975</v>
      </c>
    </row>
    <row r="5" ht="20.05" customHeight="1">
      <c r="A5" s="65">
        <v>2</v>
      </c>
      <c r="B5" s="66" cm="1">
        <f t="array" ref="B5">(AVERAGE('Sheet 2 - Базовые переменные'!$B$3:$B$4))+$A5*'Sheet 2 - Базовые переменные'!$B$6*'Sheet 2 - Базовые переменные'!$B$7</f>
        <v>10.5</v>
      </c>
      <c r="C5" s="67" cm="1">
        <f t="array" ref="C5">'Sheet 2 - Синие карты'!$F$13*$A5</f>
        <v>17.6</v>
      </c>
      <c r="D5" s="67" cm="1">
        <f t="array" ref="D5">'Sheet 2 - Красные карты'!$F$13*$A5</f>
        <v>-9.9</v>
      </c>
      <c r="E5" s="67" cm="1">
        <f t="array" ref="E5">'Sheet 2 - Фиолетовые карты'!$F$4*$A5</f>
        <v>1.116</v>
      </c>
      <c r="F5" s="67" cm="1">
        <f t="array" ref="F5">'Sheet 2 - Золотые карты'!$F$6*$A5</f>
        <v>8</v>
      </c>
      <c r="G5" s="67" cm="1">
        <f t="array" ref="G5">SUM(B5:F5)</f>
        <v>27.316</v>
      </c>
      <c r="H5" s="67" cm="1">
        <f t="array" ref="H5">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5" s="67" cm="1">
        <f t="array" ref="I5">G5/'Sheet 2 - Базовые переменные'!$B$7-H5</f>
        <v>5.5784975</v>
      </c>
    </row>
    <row r="6" ht="20.05" customHeight="1">
      <c r="A6" s="65">
        <v>3</v>
      </c>
      <c r="B6" s="66" cm="1">
        <f t="array" ref="B6">(AVERAGE('Sheet 2 - Базовые переменные'!$B$3:$B$4))+$A6*'Sheet 2 - Базовые переменные'!$B$6*'Sheet 2 - Базовые переменные'!$B$7</f>
        <v>12.5</v>
      </c>
      <c r="C6" s="67" cm="1">
        <f t="array" ref="C6">'Sheet 2 - Синие карты'!$F$13*$A6</f>
        <v>26.4</v>
      </c>
      <c r="D6" s="67" cm="1">
        <f t="array" ref="D6">'Sheet 2 - Красные карты'!$F$13*$A6</f>
        <v>-14.85</v>
      </c>
      <c r="E6" s="67" cm="1">
        <f t="array" ref="E6">'Sheet 2 - Фиолетовые карты'!$F$4*$A6</f>
        <v>1.674</v>
      </c>
      <c r="F6" s="67" cm="1">
        <f t="array" ref="F6">'Sheet 2 - Золотые карты'!$F$6*$A6</f>
        <v>12</v>
      </c>
      <c r="G6" s="67" cm="1">
        <f t="array" ref="G6">SUM(B6:F6)</f>
        <v>37.724</v>
      </c>
      <c r="H6" s="67" cm="1">
        <f t="array" ref="H6">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6" s="67" cm="1">
        <f t="array" ref="I6">G6/'Sheet 2 - Базовые переменные'!$B$7-H6</f>
        <v>8.1804975</v>
      </c>
    </row>
    <row r="7" ht="20.05" customHeight="1">
      <c r="A7" s="65">
        <v>4</v>
      </c>
      <c r="B7" s="66" cm="1">
        <f t="array" ref="B7">(AVERAGE('Sheet 2 - Базовые переменные'!$B$3:$B$4))+$A7*'Sheet 2 - Базовые переменные'!$B$6*'Sheet 2 - Базовые переменные'!$B$7</f>
        <v>14.5</v>
      </c>
      <c r="C7" s="67" cm="1">
        <f t="array" ref="C7">'Sheet 2 - Синие карты'!$F$13*$A7</f>
        <v>35.2</v>
      </c>
      <c r="D7" s="67" cm="1">
        <f t="array" ref="D7">'Sheet 2 - Красные карты'!$F$13*$A7</f>
        <v>-19.8</v>
      </c>
      <c r="E7" s="67" cm="1">
        <f t="array" ref="E7">'Sheet 2 - Фиолетовые карты'!$F$4*$A7</f>
        <v>2.232</v>
      </c>
      <c r="F7" s="67" cm="1">
        <f t="array" ref="F7">'Sheet 2 - Золотые карты'!$F$6*$A7</f>
        <v>16</v>
      </c>
      <c r="G7" s="67" cm="1">
        <f t="array" ref="G7">SUM(B7:F7)</f>
        <v>48.132</v>
      </c>
      <c r="H7" s="67" cm="1">
        <f t="array" ref="H7">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7" s="67" cm="1">
        <f t="array" ref="I7">G7/'Sheet 2 - Базовые переменные'!$B$7-H7</f>
        <v>10.7824975</v>
      </c>
    </row>
    <row r="8" ht="20.05" customHeight="1">
      <c r="A8" s="65">
        <v>5</v>
      </c>
      <c r="B8" s="66" cm="1">
        <f t="array" ref="B8">(AVERAGE('Sheet 2 - Базовые переменные'!$B$3:$B$4))+$A8*'Sheet 2 - Базовые переменные'!$B$6*'Sheet 2 - Базовые переменные'!$B$7</f>
        <v>16.5</v>
      </c>
      <c r="C8" s="67" cm="1">
        <f t="array" ref="C8">'Sheet 2 - Синие карты'!$F$13*$A8</f>
        <v>44</v>
      </c>
      <c r="D8" s="67" cm="1">
        <f t="array" ref="D8">'Sheet 2 - Красные карты'!$F$13*$A8</f>
        <v>-24.75</v>
      </c>
      <c r="E8" s="67" cm="1">
        <f t="array" ref="E8">'Sheet 2 - Фиолетовые карты'!$F$4*$A8</f>
        <v>2.79</v>
      </c>
      <c r="F8" s="67" cm="1">
        <f t="array" ref="F8">'Sheet 2 - Золотые карты'!$F$6*$A8</f>
        <v>20</v>
      </c>
      <c r="G8" s="67" cm="1">
        <f t="array" ref="G8">SUM(B8:F8)</f>
        <v>58.54</v>
      </c>
      <c r="H8" s="67" cm="1">
        <f t="array" ref="H8">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8" s="67" cm="1">
        <f t="array" ref="I8">G8/'Sheet 2 - Базовые переменные'!$B$7-H8</f>
        <v>13.3844975</v>
      </c>
    </row>
    <row r="9" ht="20.05" customHeight="1">
      <c r="A9" s="65">
        <v>6</v>
      </c>
      <c r="B9" s="66" cm="1">
        <f t="array" ref="B9">(AVERAGE('Sheet 2 - Базовые переменные'!$B$3:$B$4))+$A9*'Sheet 2 - Базовые переменные'!$B$6*'Sheet 2 - Базовые переменные'!$B$7</f>
        <v>18.5</v>
      </c>
      <c r="C9" s="67" cm="1">
        <f t="array" ref="C9">'Sheet 2 - Синие карты'!$F$13*$A9</f>
        <v>52.8</v>
      </c>
      <c r="D9" s="67" cm="1">
        <f t="array" ref="D9">'Sheet 2 - Красные карты'!$F$13*$A9</f>
        <v>-29.7</v>
      </c>
      <c r="E9" s="67" cm="1">
        <f t="array" ref="E9">'Sheet 2 - Фиолетовые карты'!$F$4*$A9</f>
        <v>3.348</v>
      </c>
      <c r="F9" s="67" cm="1">
        <f t="array" ref="F9">'Sheet 2 - Золотые карты'!$F$6*$A9</f>
        <v>24</v>
      </c>
      <c r="G9" s="67" cm="1">
        <f t="array" ref="G9">SUM(B9:F9)</f>
        <v>68.94799999999999</v>
      </c>
      <c r="H9" s="67" cm="1">
        <f t="array" ref="H9">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9" s="67" cm="1">
        <f t="array" ref="I9">G9/'Sheet 2 - Базовые переменные'!$B$7-H9</f>
        <v>15.9864975</v>
      </c>
    </row>
    <row r="10" ht="20.05" customHeight="1">
      <c r="A10" s="65">
        <v>7</v>
      </c>
      <c r="B10" s="66" cm="1">
        <f t="array" ref="B10">(AVERAGE('Sheet 2 - Базовые переменные'!$B$3:$B$4))+$A10*'Sheet 2 - Базовые переменные'!$B$6*'Sheet 2 - Базовые переменные'!$B$7</f>
        <v>20.5</v>
      </c>
      <c r="C10" s="67" cm="1">
        <f t="array" ref="C10">'Sheet 2 - Синие карты'!$F$13*$A10</f>
        <v>61.6</v>
      </c>
      <c r="D10" s="67" cm="1">
        <f t="array" ref="D10">'Sheet 2 - Красные карты'!$F$13*$A10</f>
        <v>-34.65</v>
      </c>
      <c r="E10" s="67" cm="1">
        <f t="array" ref="E10">'Sheet 2 - Фиолетовые карты'!$F$4*$A10</f>
        <v>3.906</v>
      </c>
      <c r="F10" s="67" cm="1">
        <f t="array" ref="F10">'Sheet 2 - Золотые карты'!$F$6*$A10</f>
        <v>28</v>
      </c>
      <c r="G10" s="67" cm="1">
        <f t="array" ref="G10">SUM(B10:F10)</f>
        <v>79.35599999999999</v>
      </c>
      <c r="H10" s="67" cm="1">
        <f t="array" ref="H10">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10" s="67" cm="1">
        <f t="array" ref="I10">G10/'Sheet 2 - Базовые переменные'!$B$7-H10</f>
        <v>18.5884975</v>
      </c>
    </row>
    <row r="11" ht="20.05" customHeight="1">
      <c r="A11" s="65">
        <v>8</v>
      </c>
      <c r="B11" s="66" cm="1">
        <f t="array" ref="B11">(AVERAGE('Sheet 2 - Базовые переменные'!$B$3:$B$4))+$A11*'Sheet 2 - Базовые переменные'!$B$6*'Sheet 2 - Базовые переменные'!$B$7</f>
        <v>22.5</v>
      </c>
      <c r="C11" s="67" cm="1">
        <f t="array" ref="C11">'Sheet 2 - Синие карты'!$F$13*$A11</f>
        <v>70.40000000000001</v>
      </c>
      <c r="D11" s="67" cm="1">
        <f t="array" ref="D11">'Sheet 2 - Красные карты'!$F$13*$A11</f>
        <v>-39.6</v>
      </c>
      <c r="E11" s="67" cm="1">
        <f t="array" ref="E11">'Sheet 2 - Фиолетовые карты'!$F$4*$A11</f>
        <v>4.464</v>
      </c>
      <c r="F11" s="67" cm="1">
        <f t="array" ref="F11">'Sheet 2 - Золотые карты'!$F$6*$A11</f>
        <v>32</v>
      </c>
      <c r="G11" s="67" cm="1">
        <f t="array" ref="G11">SUM(B11:F11)</f>
        <v>89.764</v>
      </c>
      <c r="H11" s="67" cm="1">
        <f t="array" ref="H11">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11" s="67" cm="1">
        <f t="array" ref="I11">G11/'Sheet 2 - Базовые переменные'!$B$7-H11</f>
        <v>21.1904975</v>
      </c>
    </row>
    <row r="12" ht="20.05" customHeight="1">
      <c r="A12" s="65">
        <v>9</v>
      </c>
      <c r="B12" s="66" cm="1">
        <f t="array" ref="B12">(AVERAGE('Sheet 2 - Базовые переменные'!$B$3:$B$4))+$A12*'Sheet 2 - Базовые переменные'!$B$6*'Sheet 2 - Базовые переменные'!$B$7</f>
        <v>24.5</v>
      </c>
      <c r="C12" s="67" cm="1">
        <f t="array" ref="C12">'Sheet 2 - Синие карты'!$F$13*$A12</f>
        <v>79.2</v>
      </c>
      <c r="D12" s="67" cm="1">
        <f t="array" ref="D12">'Sheet 2 - Красные карты'!$F$13*$A12</f>
        <v>-44.55</v>
      </c>
      <c r="E12" s="67" cm="1">
        <f t="array" ref="E12">'Sheet 2 - Фиолетовые карты'!$F$4*$A12</f>
        <v>5.022</v>
      </c>
      <c r="F12" s="67" cm="1">
        <f t="array" ref="F12">'Sheet 2 - Золотые карты'!$F$6*$A12</f>
        <v>36</v>
      </c>
      <c r="G12" s="67" cm="1">
        <f t="array" ref="G12">SUM(B12:F12)</f>
        <v>100.172</v>
      </c>
      <c r="H12" s="67" cm="1">
        <f t="array" ref="H12">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12" s="67" cm="1">
        <f t="array" ref="I12">G12/'Sheet 2 - Базовые переменные'!$B$7-H12</f>
        <v>23.7924975</v>
      </c>
    </row>
    <row r="13" ht="20.05" customHeight="1">
      <c r="A13" s="65">
        <v>10</v>
      </c>
      <c r="B13" s="66" cm="1">
        <f t="array" ref="B13">(AVERAGE('Sheet 2 - Базовые переменные'!$B$3:$B$4))+$A13*'Sheet 2 - Базовые переменные'!$B$6*'Sheet 2 - Базовые переменные'!$B$7</f>
        <v>26.5</v>
      </c>
      <c r="C13" s="67" cm="1">
        <f t="array" ref="C13">'Sheet 2 - Синие карты'!$F$13*$A13</f>
        <v>88</v>
      </c>
      <c r="D13" s="67" cm="1">
        <f t="array" ref="D13">'Sheet 2 - Красные карты'!$F$13*$A13</f>
        <v>-49.5</v>
      </c>
      <c r="E13" s="67" cm="1">
        <f t="array" ref="E13">'Sheet 2 - Фиолетовые карты'!$F$4*$A13</f>
        <v>5.58</v>
      </c>
      <c r="F13" s="67" cm="1">
        <f t="array" ref="F13">'Sheet 2 - Золотые карты'!$F$6*$A13</f>
        <v>40</v>
      </c>
      <c r="G13" s="67" cm="1">
        <f t="array" ref="G13">SUM(B13:F13)</f>
        <v>110.58</v>
      </c>
      <c r="H13" s="67" cm="1">
        <f t="array" ref="H13">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13" s="67" cm="1">
        <f t="array" ref="I13">G13/'Sheet 2 - Базовые переменные'!$B$7-H13</f>
        <v>26.3944975</v>
      </c>
    </row>
    <row r="14" ht="20.05" customHeight="1">
      <c r="A14" s="65">
        <v>11</v>
      </c>
      <c r="B14" s="66" cm="1">
        <f t="array" ref="B14">(AVERAGE('Sheet 2 - Базовые переменные'!$B$3:$B$4))+$A14*'Sheet 2 - Базовые переменные'!$B$6*'Sheet 2 - Базовые переменные'!$B$7</f>
        <v>28.5</v>
      </c>
      <c r="C14" s="67" cm="1">
        <f t="array" ref="C14">'Sheet 2 - Синие карты'!$F$13*$A14</f>
        <v>96.8</v>
      </c>
      <c r="D14" s="67" cm="1">
        <f t="array" ref="D14">'Sheet 2 - Красные карты'!$F$13*$A14</f>
        <v>-54.45</v>
      </c>
      <c r="E14" s="67" cm="1">
        <f t="array" ref="E14">'Sheet 2 - Фиолетовые карты'!$F$4*$A14</f>
        <v>6.138</v>
      </c>
      <c r="F14" s="67" cm="1">
        <f t="array" ref="F14">'Sheet 2 - Золотые карты'!$F$6*$A14</f>
        <v>44</v>
      </c>
      <c r="G14" s="67" cm="1">
        <f t="array" ref="G14">SUM(B14:F14)</f>
        <v>120.988</v>
      </c>
      <c r="H14" s="67" cm="1">
        <f t="array" ref="H14">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14" s="67" cm="1">
        <f t="array" ref="I14">G14/'Sheet 2 - Базовые переменные'!$B$7-H14</f>
        <v>28.9964975</v>
      </c>
    </row>
    <row r="15" ht="20.05" customHeight="1">
      <c r="A15" s="65">
        <v>12</v>
      </c>
      <c r="B15" s="66" cm="1">
        <f t="array" ref="B15">(AVERAGE('Sheet 2 - Базовые переменные'!$B$3:$B$4))+$A15*'Sheet 2 - Базовые переменные'!$B$6*'Sheet 2 - Базовые переменные'!$B$7</f>
        <v>30.5</v>
      </c>
      <c r="C15" s="67" cm="1">
        <f t="array" ref="C15">'Sheet 2 - Синие карты'!$F$13*$A15</f>
        <v>105.6</v>
      </c>
      <c r="D15" s="67" cm="1">
        <f t="array" ref="D15">'Sheet 2 - Красные карты'!$F$13*$A15</f>
        <v>-59.4</v>
      </c>
      <c r="E15" s="67" cm="1">
        <f t="array" ref="E15">'Sheet 2 - Фиолетовые карты'!$F$4*$A15</f>
        <v>6.696</v>
      </c>
      <c r="F15" s="67" cm="1">
        <f t="array" ref="F15">'Sheet 2 - Золотые карты'!$F$6*$A15</f>
        <v>48</v>
      </c>
      <c r="G15" s="67" cm="1">
        <f t="array" ref="G15">SUM(B15:F15)</f>
        <v>131.396</v>
      </c>
      <c r="H15" s="67" cm="1">
        <f t="array" ref="H15">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15" s="67" cm="1">
        <f t="array" ref="I15">G15/'Sheet 2 - Базовые переменные'!$B$7-H15</f>
        <v>31.5984975</v>
      </c>
    </row>
    <row r="16" ht="20.05" customHeight="1">
      <c r="A16" s="65">
        <v>13</v>
      </c>
      <c r="B16" s="66" cm="1">
        <f t="array" ref="B16">(AVERAGE('Sheet 2 - Базовые переменные'!$B$3:$B$4))+$A16*'Sheet 2 - Базовые переменные'!$B$6*'Sheet 2 - Базовые переменные'!$B$7</f>
        <v>32.5</v>
      </c>
      <c r="C16" s="67" cm="1">
        <f t="array" ref="C16">'Sheet 2 - Синие карты'!$F$13*$A16</f>
        <v>114.4</v>
      </c>
      <c r="D16" s="67" cm="1">
        <f t="array" ref="D16">'Sheet 2 - Красные карты'!$F$13*$A16</f>
        <v>-64.34999999999999</v>
      </c>
      <c r="E16" s="67" cm="1">
        <f t="array" ref="E16">'Sheet 2 - Фиолетовые карты'!$F$4*$A16</f>
        <v>7.254</v>
      </c>
      <c r="F16" s="67" cm="1">
        <f t="array" ref="F16">'Sheet 2 - Золотые карты'!$F$6*$A16</f>
        <v>52</v>
      </c>
      <c r="G16" s="67" cm="1">
        <f t="array" ref="G16">SUM(B16:F16)</f>
        <v>141.804</v>
      </c>
      <c r="H16" s="67" cm="1">
        <f t="array" ref="H16">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16" s="67" cm="1">
        <f t="array" ref="I16">G16/'Sheet 2 - Базовые переменные'!$B$7-H16</f>
        <v>34.2004975</v>
      </c>
    </row>
    <row r="17" ht="20.05" customHeight="1">
      <c r="A17" s="65">
        <v>14</v>
      </c>
      <c r="B17" s="66" cm="1">
        <f t="array" ref="B17">(AVERAGE('Sheet 2 - Базовые переменные'!$B$3:$B$4))+$A17*'Sheet 2 - Базовые переменные'!$B$6*'Sheet 2 - Базовые переменные'!$B$7</f>
        <v>34.5</v>
      </c>
      <c r="C17" s="67" cm="1">
        <f t="array" ref="C17">'Sheet 2 - Синие карты'!$F$13*$A17</f>
        <v>123.2</v>
      </c>
      <c r="D17" s="67" cm="1">
        <f t="array" ref="D17">'Sheet 2 - Красные карты'!$F$13*$A17</f>
        <v>-69.3</v>
      </c>
      <c r="E17" s="67" cm="1">
        <f t="array" ref="E17">'Sheet 2 - Фиолетовые карты'!$F$4*$A17</f>
        <v>7.812</v>
      </c>
      <c r="F17" s="67" cm="1">
        <f t="array" ref="F17">'Sheet 2 - Золотые карты'!$F$6*$A17</f>
        <v>56</v>
      </c>
      <c r="G17" s="67" cm="1">
        <f t="array" ref="G17">SUM(B17:F17)</f>
        <v>152.212</v>
      </c>
      <c r="H17" s="67" cm="1">
        <f t="array" ref="H17">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17" s="67" cm="1">
        <f t="array" ref="I17">G17/'Sheet 2 - Базовые переменные'!$B$7-H17</f>
        <v>36.8024975</v>
      </c>
    </row>
    <row r="18" ht="20.05" customHeight="1">
      <c r="A18" s="65">
        <v>15</v>
      </c>
      <c r="B18" s="66" cm="1">
        <f t="array" ref="B18">(AVERAGE('Sheet 2 - Базовые переменные'!$B$3:$B$4))+$A18*'Sheet 2 - Базовые переменные'!$B$6*'Sheet 2 - Базовые переменные'!$B$7</f>
        <v>36.5</v>
      </c>
      <c r="C18" s="67" cm="1">
        <f t="array" ref="C18">'Sheet 2 - Синие карты'!$F$13*$A18</f>
        <v>132</v>
      </c>
      <c r="D18" s="67" cm="1">
        <f t="array" ref="D18">'Sheet 2 - Красные карты'!$F$13*$A18</f>
        <v>-74.25</v>
      </c>
      <c r="E18" s="67" cm="1">
        <f t="array" ref="E18">'Sheet 2 - Фиолетовые карты'!$F$4*$A18</f>
        <v>8.369999999999999</v>
      </c>
      <c r="F18" s="67" cm="1">
        <f t="array" ref="F18">'Sheet 2 - Золотые карты'!$F$6*$A18</f>
        <v>60</v>
      </c>
      <c r="G18" s="67" cm="1">
        <f t="array" ref="G18">SUM(B18:F18)</f>
        <v>162.62</v>
      </c>
      <c r="H18" s="67" cm="1">
        <f t="array" ref="H18">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18" s="67" cm="1">
        <f t="array" ref="I18">G18/'Sheet 2 - Базовые переменные'!$B$7-H18</f>
        <v>39.4044975</v>
      </c>
    </row>
    <row r="19" ht="20.05" customHeight="1">
      <c r="A19" s="65">
        <v>16</v>
      </c>
      <c r="B19" s="66" cm="1">
        <f t="array" ref="B19">(AVERAGE('Sheet 2 - Базовые переменные'!$B$3:$B$4))+$A19*'Sheet 2 - Базовые переменные'!$B$6*'Sheet 2 - Базовые переменные'!$B$7</f>
        <v>38.5</v>
      </c>
      <c r="C19" s="67" cm="1">
        <f t="array" ref="C19">'Sheet 2 - Синие карты'!$F$13*$A19</f>
        <v>140.8</v>
      </c>
      <c r="D19" s="67" cm="1">
        <f t="array" ref="D19">'Sheet 2 - Красные карты'!$F$13*$A19</f>
        <v>-79.2</v>
      </c>
      <c r="E19" s="67" cm="1">
        <f t="array" ref="E19">'Sheet 2 - Фиолетовые карты'!$F$4*$A19</f>
        <v>8.928000000000001</v>
      </c>
      <c r="F19" s="67" cm="1">
        <f t="array" ref="F19">'Sheet 2 - Золотые карты'!$F$6*$A19</f>
        <v>64</v>
      </c>
      <c r="G19" s="67" cm="1">
        <f t="array" ref="G19">SUM(B19:F19)</f>
        <v>173.028</v>
      </c>
      <c r="H19" s="67" cm="1">
        <f t="array" ref="H19">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19" s="67" cm="1">
        <f t="array" ref="I19">G19/'Sheet 2 - Базовые переменные'!$B$7-H19</f>
        <v>42.0064975</v>
      </c>
    </row>
    <row r="20" ht="20.05" customHeight="1">
      <c r="A20" s="65">
        <v>17</v>
      </c>
      <c r="B20" s="66" cm="1">
        <f t="array" ref="B20">(AVERAGE('Sheet 2 - Базовые переменные'!$B$3:$B$4))+$A20*'Sheet 2 - Базовые переменные'!$B$6*'Sheet 2 - Базовые переменные'!$B$7</f>
        <v>40.5</v>
      </c>
      <c r="C20" s="67" cm="1">
        <f t="array" ref="C20">'Sheet 2 - Синие карты'!$F$13*$A20</f>
        <v>149.6</v>
      </c>
      <c r="D20" s="67" cm="1">
        <f t="array" ref="D20">'Sheet 2 - Красные карты'!$F$13*$A20</f>
        <v>-84.15000000000001</v>
      </c>
      <c r="E20" s="67" cm="1">
        <f t="array" ref="E20">'Sheet 2 - Фиолетовые карты'!$F$4*$A20</f>
        <v>9.486000000000001</v>
      </c>
      <c r="F20" s="67" cm="1">
        <f t="array" ref="F20">'Sheet 2 - Золотые карты'!$F$6*$A20</f>
        <v>68</v>
      </c>
      <c r="G20" s="67" cm="1">
        <f t="array" ref="G20">SUM(B20:F20)</f>
        <v>183.436</v>
      </c>
      <c r="H20" s="67" cm="1">
        <f t="array" ref="H20">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20" s="67" cm="1">
        <f t="array" ref="I20">G20/'Sheet 2 - Базовые переменные'!$B$7-H20</f>
        <v>44.6084975</v>
      </c>
    </row>
    <row r="21" ht="20.05" customHeight="1">
      <c r="A21" s="65">
        <v>18</v>
      </c>
      <c r="B21" s="66" cm="1">
        <f t="array" ref="B21">(AVERAGE('Sheet 2 - Базовые переменные'!$B$3:$B$4))+$A21*'Sheet 2 - Базовые переменные'!$B$6*'Sheet 2 - Базовые переменные'!$B$7</f>
        <v>42.5</v>
      </c>
      <c r="C21" s="67" cm="1">
        <f t="array" ref="C21">'Sheet 2 - Синие карты'!$F$13*$A21</f>
        <v>158.4</v>
      </c>
      <c r="D21" s="67" cm="1">
        <f t="array" ref="D21">'Sheet 2 - Красные карты'!$F$13*$A21</f>
        <v>-89.09999999999999</v>
      </c>
      <c r="E21" s="67" cm="1">
        <f t="array" ref="E21">'Sheet 2 - Фиолетовые карты'!$F$4*$A21</f>
        <v>10.044</v>
      </c>
      <c r="F21" s="67" cm="1">
        <f t="array" ref="F21">'Sheet 2 - Золотые карты'!$F$6*$A21</f>
        <v>72</v>
      </c>
      <c r="G21" s="67" cm="1">
        <f t="array" ref="G21">SUM(B21:F21)</f>
        <v>193.844</v>
      </c>
      <c r="H21" s="67" cm="1">
        <f t="array" ref="H21">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21" s="67" cm="1">
        <f t="array" ref="I21">G21/'Sheet 2 - Базовые переменные'!$B$7-H21</f>
        <v>47.2104975</v>
      </c>
    </row>
    <row r="22" ht="20.05" customHeight="1">
      <c r="A22" s="65">
        <v>19</v>
      </c>
      <c r="B22" s="66" cm="1">
        <f t="array" ref="B22">(AVERAGE('Sheet 2 - Базовые переменные'!$B$3:$B$4))+$A22*'Sheet 2 - Базовые переменные'!$B$6*'Sheet 2 - Базовые переменные'!$B$7</f>
        <v>44.5</v>
      </c>
      <c r="C22" s="67" cm="1">
        <f t="array" ref="C22">'Sheet 2 - Синие карты'!$F$13*$A22</f>
        <v>167.2</v>
      </c>
      <c r="D22" s="67" cm="1">
        <f t="array" ref="D22">'Sheet 2 - Красные карты'!$F$13*$A22</f>
        <v>-94.05</v>
      </c>
      <c r="E22" s="67" cm="1">
        <f t="array" ref="E22">'Sheet 2 - Фиолетовые карты'!$F$4*$A22</f>
        <v>10.602</v>
      </c>
      <c r="F22" s="67" cm="1">
        <f t="array" ref="F22">'Sheet 2 - Золотые карты'!$F$6*$A22</f>
        <v>76</v>
      </c>
      <c r="G22" s="67" cm="1">
        <f t="array" ref="G22">SUM(B22:F22)</f>
        <v>204.252</v>
      </c>
      <c r="H22" s="67" cm="1">
        <f t="array" ref="H22">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22" s="67" cm="1">
        <f t="array" ref="I22">G22/'Sheet 2 - Базовые переменные'!$B$7-H22</f>
        <v>49.8124975</v>
      </c>
    </row>
    <row r="23" ht="20.05" customHeight="1">
      <c r="A23" s="65">
        <v>20</v>
      </c>
      <c r="B23" s="66" cm="1">
        <f t="array" ref="B23">(AVERAGE('Sheet 2 - Базовые переменные'!$B$3:$B$4))+$A23*'Sheet 2 - Базовые переменные'!$B$6*'Sheet 2 - Базовые переменные'!$B$7</f>
        <v>46.5</v>
      </c>
      <c r="C23" s="67" cm="1">
        <f t="array" ref="C23">'Sheet 2 - Синие карты'!$F$13*$A23</f>
        <v>176</v>
      </c>
      <c r="D23" s="67" cm="1">
        <f t="array" ref="D23">'Sheet 2 - Красные карты'!$F$13*$A23</f>
        <v>-99</v>
      </c>
      <c r="E23" s="67" cm="1">
        <f t="array" ref="E23">'Sheet 2 - Фиолетовые карты'!$F$4*$A23</f>
        <v>11.16</v>
      </c>
      <c r="F23" s="67" cm="1">
        <f t="array" ref="F23">'Sheet 2 - Золотые карты'!$F$6*$A23</f>
        <v>80</v>
      </c>
      <c r="G23" s="67" cm="1">
        <f t="array" ref="G23">SUM(B23:F23)</f>
        <v>214.66</v>
      </c>
      <c r="H23" s="67" cm="1">
        <f t="array" ref="H23">AVERAGE('Sheet 2 - Синие карты'!D$13*'Sheet 2 - Вероятность выпадения'!B$3,'Sheet 2 - Красные карты'!D$13*'Sheet 2 - Вероятность выпадения'!B$4,'Sheet 2 - Фиолетовые карты'!D$4*'Sheet 2 - Вероятность выпадения'!B$5,'Sheet 2 - Золотые карты'!D$6*'Sheet 2 - Вероятность выпадения'!B$6)</f>
        <v>1.2505025</v>
      </c>
      <c r="I23" s="67" cm="1">
        <f t="array" ref="I23">G23/'Sheet 2 - Базовые переменные'!$B$7-H23</f>
        <v>52.4144975</v>
      </c>
    </row>
  </sheetData>
  <mergeCells count="2">
    <mergeCell ref="A1:I1"/>
    <mergeCell ref="C2:F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2:G4"/>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5" width="16.3516" style="68" customWidth="1"/>
    <col min="6" max="6" width="18.4141" style="68" customWidth="1"/>
    <col min="7" max="7" width="16.3516" style="68" customWidth="1"/>
    <col min="8" max="16384" width="16.3516" style="68" customWidth="1"/>
  </cols>
  <sheetData>
    <row r="1" ht="27.65" customHeight="1">
      <c r="A1" t="s" s="29">
        <v>176</v>
      </c>
      <c r="B1" s="29"/>
      <c r="C1" s="29"/>
      <c r="D1" s="29"/>
      <c r="E1" s="29"/>
      <c r="F1" s="29"/>
      <c r="G1" s="29"/>
    </row>
    <row r="2" ht="32.25" customHeight="1">
      <c r="A2" t="s" s="36">
        <v>149</v>
      </c>
      <c r="B2" t="s" s="36">
        <v>115</v>
      </c>
      <c r="C2" t="s" s="36">
        <v>150</v>
      </c>
      <c r="D2" t="s" s="36">
        <v>151</v>
      </c>
      <c r="E2" t="s" s="36">
        <v>152</v>
      </c>
      <c r="F2" t="s" s="36">
        <v>153</v>
      </c>
      <c r="G2" s="69"/>
    </row>
    <row r="3" ht="20.25" customHeight="1">
      <c r="A3" s="38">
        <v>1</v>
      </c>
      <c r="B3" s="39"/>
      <c r="C3" t="s" s="40">
        <v>162</v>
      </c>
      <c r="D3" s="41" cm="1">
        <f t="array" ref="D3">F3/'Sheet 2 - Базовые переменные'!$B$7*VLOOKUP(C3,'Sheet 2 - Вероятность выпадения'!$A2:$B6,2,FALSE)</f>
        <v>0.18135</v>
      </c>
      <c r="E3" s="41" cm="1">
        <f t="array" ref="E3">'Sheet 2 - Синие карты'!F13*'Sheet 2 - Вероятность выпадения'!B3+'Sheet 2 - Красные карты'!F13*'Sheet 2 - Вероятность выпадения'!B4+'Sheet 2 - Золотые карты'!F6*'Sheet 2 - Вероятность выпадения'!B6</f>
        <v>1.395</v>
      </c>
      <c r="F3" s="41" cm="1">
        <f t="array" ref="F3">AVERAGE('Sheet 2 - Базовые переменные'!$B$8:$B$9)*E3*'Sheet 2 - Базовые переменные'!$B$7*VLOOKUP(C3,'Sheet 2 - Вероятность выпадения'!$A2:$B6,2,FALSE)</f>
        <v>7.254</v>
      </c>
      <c r="G3" s="41"/>
    </row>
    <row r="4" ht="32.05" customHeight="1">
      <c r="A4" s="50"/>
      <c r="B4" t="s" s="51">
        <v>155</v>
      </c>
      <c r="C4" s="70"/>
      <c r="D4" s="47" cm="1">
        <f t="array" ref="D4">AVERAGE(D2:D3)</f>
        <v>0.18135</v>
      </c>
      <c r="E4" s="47"/>
      <c r="F4" s="47" cm="1">
        <f t="array" ref="F4">AVERAGE(F3:F3)/AVERAGE('Sheet 2 - Базовые переменные'!B8:B9)</f>
        <v>0.5580000000000001</v>
      </c>
      <c r="G4" s="47"/>
    </row>
  </sheetData>
  <mergeCells count="1">
    <mergeCell ref="A1:G1"/>
  </mergeCells>
  <dataValidations count="1">
    <dataValidation type="list" allowBlank="1" showInputMessage="1" showErrorMessage="1" sqref="C3">
      <formula1>"Синий,Красный,Фиолетовый,Золотой"</formula1>
    </dataValidation>
  </dataValidation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2:G6"/>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5" width="16.3516" style="71" customWidth="1"/>
    <col min="6" max="6" width="18.4141" style="71" customWidth="1"/>
    <col min="7" max="7" width="16.3516" style="71" customWidth="1"/>
    <col min="8" max="16384" width="16.3516" style="71" customWidth="1"/>
  </cols>
  <sheetData>
    <row r="1" ht="27.65" customHeight="1">
      <c r="A1" t="s" s="29">
        <v>178</v>
      </c>
      <c r="B1" s="29"/>
      <c r="C1" s="29"/>
      <c r="D1" s="29"/>
      <c r="E1" s="29"/>
      <c r="F1" s="29"/>
      <c r="G1" s="29"/>
    </row>
    <row r="2" ht="32.25" customHeight="1">
      <c r="A2" t="s" s="36">
        <v>149</v>
      </c>
      <c r="B2" t="s" s="36">
        <v>115</v>
      </c>
      <c r="C2" t="s" s="36">
        <v>150</v>
      </c>
      <c r="D2" t="s" s="36">
        <v>151</v>
      </c>
      <c r="E2" t="s" s="36">
        <v>152</v>
      </c>
      <c r="F2" t="s" s="36">
        <v>153</v>
      </c>
      <c r="G2" s="37"/>
    </row>
    <row r="3" ht="20.25" customHeight="1">
      <c r="A3" s="38">
        <v>1</v>
      </c>
      <c r="B3" s="39"/>
      <c r="C3" t="s" s="40">
        <v>163</v>
      </c>
      <c r="D3" s="41" cm="1">
        <f t="array" ref="D3">F3/'Sheet 2 - Базовые переменные'!$B$7*VLOOKUP(C3,'Sheet 2 - Вероятность выпадения'!$A2:$B6,2,FALSE)</f>
        <v>3.25</v>
      </c>
      <c r="E3" s="42">
        <v>1</v>
      </c>
      <c r="F3" s="41" cm="1">
        <f t="array" ref="F3">AVERAGE('Sheet 2 - Базовые переменные'!$B$8:$B$9)*E3*'Sheet 2 - Базовые переменные'!$B$7*VLOOKUP(C3,'Sheet 2 - Вероятность выпадения'!$A2:$B6,2,FALSE)</f>
        <v>26</v>
      </c>
      <c r="G3" s="43"/>
    </row>
    <row r="4" ht="20.05" customHeight="1">
      <c r="A4" s="44">
        <v>2</v>
      </c>
      <c r="B4" s="45"/>
      <c r="C4" t="s" s="46">
        <v>163</v>
      </c>
      <c r="D4" s="47" cm="1">
        <f t="array" ref="D4">F4/'Sheet 2 - Базовые переменные'!$B$7*VLOOKUP(C4,'Sheet 2 - Вероятность выпадения'!$A2:$B6,2,FALSE)</f>
        <v>6.5</v>
      </c>
      <c r="E4" s="48">
        <v>2</v>
      </c>
      <c r="F4" s="47" cm="1">
        <f t="array" ref="F4">AVERAGE('Sheet 2 - Базовые переменные'!$B$8:$B$9)*E4*'Sheet 2 - Базовые переменные'!$B$7*VLOOKUP(C4,'Sheet 2 - Вероятность выпадения'!$A2:$B6,2,FALSE)</f>
        <v>52</v>
      </c>
      <c r="G4" s="49"/>
    </row>
    <row r="5" ht="20.05" customHeight="1">
      <c r="A5" s="44">
        <v>3</v>
      </c>
      <c r="B5" s="45"/>
      <c r="C5" t="s" s="46">
        <v>163</v>
      </c>
      <c r="D5" s="47" cm="1">
        <f t="array" ref="D5">F5/'Sheet 2 - Базовые переменные'!$B$7*VLOOKUP(C5,'Sheet 2 - Вероятность выпадения'!$A2:$B6,2,FALSE)</f>
        <v>9.75</v>
      </c>
      <c r="E5" s="48">
        <v>3</v>
      </c>
      <c r="F5" s="47" cm="1">
        <f t="array" ref="F5">AVERAGE('Sheet 2 - Базовые переменные'!$B$8:$B$9)*E5*'Sheet 2 - Базовые переменные'!$B$7*VLOOKUP(C5,'Sheet 2 - Вероятность выпадения'!$A2:$B6,2,FALSE)</f>
        <v>78</v>
      </c>
      <c r="G5" s="49"/>
    </row>
    <row r="6" ht="32.05" customHeight="1">
      <c r="A6" s="50"/>
      <c r="B6" t="s" s="51">
        <v>155</v>
      </c>
      <c r="C6" s="46"/>
      <c r="D6" s="47" cm="1">
        <f t="array" ref="D6">AVERAGE(D3:D5)</f>
        <v>6.5</v>
      </c>
      <c r="E6" s="49"/>
      <c r="F6" s="47" cm="1">
        <f t="array" ref="F6">AVERAGE(F3:F5)/AVERAGE('Sheet 2 - Базовые переменные'!B8:B9)</f>
        <v>4</v>
      </c>
      <c r="G6" s="49"/>
    </row>
  </sheetData>
  <mergeCells count="1">
    <mergeCell ref="A1:G1"/>
  </mergeCells>
  <dataValidations count="1">
    <dataValidation type="list" allowBlank="1" showInputMessage="1" showErrorMessage="1" sqref="C3:C5">
      <formula1>"Синий,Красный,Фиолетовый,Золотой"</formula1>
    </dataValidation>
  </dataValidation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